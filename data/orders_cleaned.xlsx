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2648eccffef789/Desktop/DATA ANALYTICS PROJECT/e-commerce customer and revenue analysis/"/>
    </mc:Choice>
  </mc:AlternateContent>
  <xr:revisionPtr revIDLastSave="111" documentId="8_{B4C59CB7-CA29-4A0D-B7D5-AEDCCE55622B}" xr6:coauthVersionLast="47" xr6:coauthVersionMax="47" xr10:uidLastSave="{E8B82FEB-610D-4F83-BE5C-0E51EC62B5EE}"/>
  <bookViews>
    <workbookView xWindow="-108" yWindow="-108" windowWidth="23256" windowHeight="12456" firstSheet="4" activeTab="5" xr2:uid="{11B8013D-F650-422B-A803-872BD6BA265C}"/>
  </bookViews>
  <sheets>
    <sheet name="Revenue and Profit by Region" sheetId="2" r:id="rId1"/>
    <sheet name="Revenue and Profit by Product N" sheetId="4" r:id="rId2"/>
    <sheet name="Revenue and Profit by Sales Rep" sheetId="5" r:id="rId3"/>
    <sheet name="Revenue and Profit by Custm Seg" sheetId="7" r:id="rId4"/>
    <sheet name="Revenue &amp; Profit by Paymnt Stat" sheetId="8" r:id="rId5"/>
    <sheet name="Monthly Revenue &amp; Profit" sheetId="9" r:id="rId6"/>
    <sheet name="orders_raw" sheetId="1" r:id="rId7"/>
  </sheets>
  <externalReferences>
    <externalReference r:id="rId8"/>
    <externalReference r:id="rId9"/>
  </externalReferences>
  <definedNames>
    <definedName name="_xlnm._FilterDatabase" localSheetId="6" hidden="1">orders_raw!$G$1:$G$321</definedName>
  </definedNames>
  <calcPr calcId="0"/>
  <pivotCaches>
    <pivotCache cacheId="5" r:id="rId10"/>
    <pivotCache cacheId="13" r:id="rId11"/>
    <pivotCache cacheId="19" r:id="rId12"/>
    <pivotCache cacheId="23" r:id="rId13"/>
  </pivotCaches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2" i="1"/>
</calcChain>
</file>

<file path=xl/sharedStrings.xml><?xml version="1.0" encoding="utf-8"?>
<sst xmlns="http://schemas.openxmlformats.org/spreadsheetml/2006/main" count="1679" uniqueCount="467">
  <si>
    <t>Order_ID</t>
  </si>
  <si>
    <t>Order_Date</t>
  </si>
  <si>
    <t>Customer_ID</t>
  </si>
  <si>
    <t>Product_ID</t>
  </si>
  <si>
    <t>Sales_Rep</t>
  </si>
  <si>
    <t>Quantity</t>
  </si>
  <si>
    <t>Discount_Rate</t>
  </si>
  <si>
    <t>Payment_Status</t>
  </si>
  <si>
    <t>Shipping_Cost</t>
  </si>
  <si>
    <t>ORD0001</t>
  </si>
  <si>
    <t>CUST041</t>
  </si>
  <si>
    <t>PROD004</t>
  </si>
  <si>
    <t>Bola</t>
  </si>
  <si>
    <t>Paid</t>
  </si>
  <si>
    <t>ORD0002</t>
  </si>
  <si>
    <t>PROD002</t>
  </si>
  <si>
    <t>Daniel</t>
  </si>
  <si>
    <t>ORD0003</t>
  </si>
  <si>
    <t>CUST069</t>
  </si>
  <si>
    <t>ORD0004</t>
  </si>
  <si>
    <t>CUST048</t>
  </si>
  <si>
    <t>PROD005</t>
  </si>
  <si>
    <t>Pending</t>
  </si>
  <si>
    <t>ORD0005</t>
  </si>
  <si>
    <t>CUST068</t>
  </si>
  <si>
    <t>PROD001</t>
  </si>
  <si>
    <t>Grace</t>
  </si>
  <si>
    <t>ORD0006</t>
  </si>
  <si>
    <t>CUST015</t>
  </si>
  <si>
    <t>ORD0007</t>
  </si>
  <si>
    <t>CUST044</t>
  </si>
  <si>
    <t>ORD0008</t>
  </si>
  <si>
    <t>CUST055</t>
  </si>
  <si>
    <t>ORD0009</t>
  </si>
  <si>
    <t>CUST057</t>
  </si>
  <si>
    <t>PROD009</t>
  </si>
  <si>
    <t>ORD0010</t>
  </si>
  <si>
    <t>CUST005</t>
  </si>
  <si>
    <t>PROD006</t>
  </si>
  <si>
    <t>ORD0011</t>
  </si>
  <si>
    <t>CUST047</t>
  </si>
  <si>
    <t>ORD0012</t>
  </si>
  <si>
    <t>CUST072</t>
  </si>
  <si>
    <t>PROD007</t>
  </si>
  <si>
    <t>ORD0013</t>
  </si>
  <si>
    <t>CUST053</t>
  </si>
  <si>
    <t>ORD0014</t>
  </si>
  <si>
    <t>CUST021</t>
  </si>
  <si>
    <t>ORD0015</t>
  </si>
  <si>
    <t>CUST045</t>
  </si>
  <si>
    <t>Maya</t>
  </si>
  <si>
    <t>ORD0016</t>
  </si>
  <si>
    <t>CUST036</t>
  </si>
  <si>
    <t>Kevin</t>
  </si>
  <si>
    <t>ORD0017</t>
  </si>
  <si>
    <t>CUST004</t>
  </si>
  <si>
    <t>ORD0018</t>
  </si>
  <si>
    <t>CUST077</t>
  </si>
  <si>
    <t>ORD0019</t>
  </si>
  <si>
    <t>CUST074</t>
  </si>
  <si>
    <t>ORD0020</t>
  </si>
  <si>
    <t>CUST026</t>
  </si>
  <si>
    <t>Refunded</t>
  </si>
  <si>
    <t>ORD0021</t>
  </si>
  <si>
    <t>CUST016</t>
  </si>
  <si>
    <t>ORD0022</t>
  </si>
  <si>
    <t>CUST038</t>
  </si>
  <si>
    <t>ORD0023</t>
  </si>
  <si>
    <t>CUST073</t>
  </si>
  <si>
    <t>ORD0024</t>
  </si>
  <si>
    <t>CUST056</t>
  </si>
  <si>
    <t>PROD010</t>
  </si>
  <si>
    <t>ORD0025</t>
  </si>
  <si>
    <t>CUST061</t>
  </si>
  <si>
    <t>PROD003</t>
  </si>
  <si>
    <t>ORD0026</t>
  </si>
  <si>
    <t>CUST012</t>
  </si>
  <si>
    <t>ORD0027</t>
  </si>
  <si>
    <t>CUST032</t>
  </si>
  <si>
    <t>PROD008</t>
  </si>
  <si>
    <t>ORD0028</t>
  </si>
  <si>
    <t>CUST050</t>
  </si>
  <si>
    <t>ORD0029</t>
  </si>
  <si>
    <t>ORD0030</t>
  </si>
  <si>
    <t>CUST059</t>
  </si>
  <si>
    <t>ORD0031</t>
  </si>
  <si>
    <t>CUST079</t>
  </si>
  <si>
    <t>ORD0032</t>
  </si>
  <si>
    <t>CUST034</t>
  </si>
  <si>
    <t>ORD0033</t>
  </si>
  <si>
    <t>CUST010</t>
  </si>
  <si>
    <t>ORD0034</t>
  </si>
  <si>
    <t>CUST020</t>
  </si>
  <si>
    <t>ORD0035</t>
  </si>
  <si>
    <t>CUST043</t>
  </si>
  <si>
    <t>ORD0036</t>
  </si>
  <si>
    <t>CUST003</t>
  </si>
  <si>
    <t>ORD0037</t>
  </si>
  <si>
    <t>CUST054</t>
  </si>
  <si>
    <t>ORD0038</t>
  </si>
  <si>
    <t>ORD0039</t>
  </si>
  <si>
    <t>CUST022</t>
  </si>
  <si>
    <t>ORD0040</t>
  </si>
  <si>
    <t>ORD0041</t>
  </si>
  <si>
    <t>CUST049</t>
  </si>
  <si>
    <t>ORD0042</t>
  </si>
  <si>
    <t>CUST033</t>
  </si>
  <si>
    <t>ORD0043</t>
  </si>
  <si>
    <t>CUST009</t>
  </si>
  <si>
    <t>ORD0044</t>
  </si>
  <si>
    <t>CUST031</t>
  </si>
  <si>
    <t>ORD0045</t>
  </si>
  <si>
    <t>ORD0046</t>
  </si>
  <si>
    <t>CUST014</t>
  </si>
  <si>
    <t>ORD0047</t>
  </si>
  <si>
    <t>ORD0048</t>
  </si>
  <si>
    <t>ORD0049</t>
  </si>
  <si>
    <t>ORD0050</t>
  </si>
  <si>
    <t>ORD0051</t>
  </si>
  <si>
    <t>CUST062</t>
  </si>
  <si>
    <t>ORD0052</t>
  </si>
  <si>
    <t>CUST058</t>
  </si>
  <si>
    <t>ORD0053</t>
  </si>
  <si>
    <t>CUST064</t>
  </si>
  <si>
    <t>ORD0054</t>
  </si>
  <si>
    <t>ORD0055</t>
  </si>
  <si>
    <t>ORD0056</t>
  </si>
  <si>
    <t>ORD0057</t>
  </si>
  <si>
    <t>CUST075</t>
  </si>
  <si>
    <t>ORD0058</t>
  </si>
  <si>
    <t>CUST046</t>
  </si>
  <si>
    <t>ORD0059</t>
  </si>
  <si>
    <t>ORD0060</t>
  </si>
  <si>
    <t>CUST076</t>
  </si>
  <si>
    <t>ORD0061</t>
  </si>
  <si>
    <t>ORD0062</t>
  </si>
  <si>
    <t>CUST007</t>
  </si>
  <si>
    <t>ORD0063</t>
  </si>
  <si>
    <t>ORD0064</t>
  </si>
  <si>
    <t>ORD0065</t>
  </si>
  <si>
    <t>ORD0066</t>
  </si>
  <si>
    <t>CUST078</t>
  </si>
  <si>
    <t>ORD0067</t>
  </si>
  <si>
    <t>CUST039</t>
  </si>
  <si>
    <t>ORD0068</t>
  </si>
  <si>
    <t>CUST013</t>
  </si>
  <si>
    <t>ORD0069</t>
  </si>
  <si>
    <t>CUST071</t>
  </si>
  <si>
    <t>ORD0070</t>
  </si>
  <si>
    <t>ORD0071</t>
  </si>
  <si>
    <t>CUST030</t>
  </si>
  <si>
    <t>ORD0072</t>
  </si>
  <si>
    <t>ORD0073</t>
  </si>
  <si>
    <t>ORD0074</t>
  </si>
  <si>
    <t>CUST065</t>
  </si>
  <si>
    <t>ORD0075</t>
  </si>
  <si>
    <t>CUST042</t>
  </si>
  <si>
    <t>ORD0076</t>
  </si>
  <si>
    <t>ORD0077</t>
  </si>
  <si>
    <t>ORD0078</t>
  </si>
  <si>
    <t>ORD0079</t>
  </si>
  <si>
    <t>ORD0080</t>
  </si>
  <si>
    <t>ORD0081</t>
  </si>
  <si>
    <t>ORD0082</t>
  </si>
  <si>
    <t>CUST027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</si>
  <si>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</si>
  <si>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</si>
  <si>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</si>
  <si>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</si>
  <si>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</si>
  <si>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</si>
  <si>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</si>
  <si>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</si>
  <si>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</si>
  <si>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</si>
  <si>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</si>
  <si>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CUST019</t>
  </si>
  <si>
    <t>ORD0094</t>
  </si>
  <si>
    <t>CUST051</t>
  </si>
  <si>
    <t>ORD0095</t>
  </si>
  <si>
    <t>ORD0096</t>
  </si>
  <si>
    <t>ORD0097</t>
  </si>
  <si>
    <t>CUST006</t>
  </si>
  <si>
    <t>ORD0098</t>
  </si>
  <si>
    <t>ORD0099</t>
  </si>
  <si>
    <t>CUST080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</si>
  <si>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</si>
  <si>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</si>
  <si>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</si>
  <si>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</si>
  <si>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</si>
  <si>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</si>
  <si>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</si>
  <si>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</si>
  <si>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CUST017</t>
  </si>
  <si>
    <t>ORD0108</t>
  </si>
  <si>
    <t>ORD0109</t>
  </si>
  <si>
    <t>ORD0110</t>
  </si>
  <si>
    <t>ORD0111</t>
  </si>
  <si>
    <t>ORD0112</t>
  </si>
  <si>
    <t>CUST029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</si>
  <si>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</si>
  <si>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</si>
  <si>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</si>
  <si>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</si>
  <si>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</si>
  <si>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</si>
  <si>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</si>
  <si>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</si>
  <si>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</si>
  <si>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</si>
  <si>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</si>
  <si>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</si>
  <si>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</si>
  <si>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</si>
  <si>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</si>
  <si>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</si>
  <si>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</si>
  <si>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</si>
  <si>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</si>
  <si>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</si>
  <si>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</si>
  <si>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CUST040</t>
  </si>
  <si>
    <t>ORD0134</t>
  </si>
  <si>
    <t>ORD0135</t>
  </si>
  <si>
    <t>ORD0136</t>
  </si>
  <si>
    <t>CUST035</t>
  </si>
  <si>
    <t>ORD0137</t>
  </si>
  <si>
    <t>CUST001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</si>
  <si>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</si>
  <si>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</si>
  <si>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</si>
  <si>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</si>
  <si>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</si>
  <si>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</si>
  <si>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</si>
  <si>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</si>
  <si>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</si>
  <si>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</si>
  <si>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</si>
  <si>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</si>
  <si>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</si>
  <si>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</si>
  <si>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</si>
  <si>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</si>
  <si>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</si>
  <si>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</si>
  <si>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</si>
  <si>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CUST008</t>
  </si>
  <si>
    <t>ORD0157</t>
  </si>
  <si>
    <t>ORD0158</t>
  </si>
  <si>
    <t>CUST025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</si>
  <si>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</si>
  <si>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</si>
  <si>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</si>
  <si>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</si>
  <si>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</si>
  <si>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</si>
  <si>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</si>
  <si>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</si>
  <si>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CUST063</t>
  </si>
  <si>
    <t>ORD0167</t>
  </si>
  <si>
    <t>CUST070</t>
  </si>
  <si>
    <t>ORD0168</t>
  </si>
  <si>
    <t>ORD0169</t>
  </si>
  <si>
    <t>ORD0170</t>
  </si>
  <si>
    <t>CUST037</t>
  </si>
  <si>
    <t>ORD0171</t>
  </si>
  <si>
    <t>ORD0172</t>
  </si>
  <si>
    <t>ORD0173</t>
  </si>
  <si>
    <t>ORD0174</t>
  </si>
  <si>
    <t>CUST066</t>
  </si>
  <si>
    <t>ORD0175</t>
  </si>
  <si>
    <t>ORD0176</t>
  </si>
  <si>
    <t>ORD0177</t>
  </si>
  <si>
    <t>CUST018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</si>
  <si>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</si>
  <si>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</si>
  <si>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</si>
  <si>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</si>
  <si>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</si>
  <si>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</si>
  <si>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</si>
  <si>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</si>
  <si>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</si>
  <si>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</si>
  <si>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</si>
  <si>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</si>
  <si>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</si>
  <si>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</si>
  <si>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</si>
  <si>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</si>
  <si>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</si>
  <si>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</si>
  <si>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</si>
  <si>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</si>
  <si>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</si>
  <si>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</si>
  <si>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</si>
  <si>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</si>
  <si>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</si>
  <si>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</si>
  <si>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</si>
  <si>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</si>
  <si>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 xml:space="preserve">Paid </t>
  </si>
  <si>
    <t>ORD0206</t>
  </si>
  <si>
    <t>ORD0207</t>
  </si>
  <si>
    <t>CUST060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</si>
  <si>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</si>
  <si>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</si>
  <si>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</si>
  <si>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</si>
  <si>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</si>
  <si>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</si>
  <si>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</si>
  <si>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</si>
  <si>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</si>
  <si>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</si>
  <si>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</si>
  <si>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</si>
  <si>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</si>
  <si>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</si>
  <si>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</si>
  <si>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</si>
  <si>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</si>
  <si>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</si>
  <si>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</si>
  <si>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</si>
  <si>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</si>
  <si>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</si>
  <si>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</si>
  <si>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</si>
  <si>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</si>
  <si>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</si>
  <si>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</si>
  <si>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</si>
  <si>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</si>
  <si>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</si>
  <si>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</si>
  <si>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</si>
  <si>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</si>
  <si>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</si>
  <si>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</si>
  <si>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</si>
  <si>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</si>
  <si>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</si>
  <si>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</si>
  <si>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</si>
  <si>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</si>
  <si>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</si>
  <si>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</si>
  <si>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CUST024</t>
  </si>
  <si>
    <t>ORD0251</t>
  </si>
  <si>
    <t>CUST052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</si>
  <si>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</si>
  <si>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</si>
  <si>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</si>
  <si>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</si>
  <si>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</si>
  <si>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</si>
  <si>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</si>
  <si>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</si>
  <si>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</si>
  <si>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</si>
  <si>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</si>
  <si>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</si>
  <si>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</si>
  <si>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</si>
  <si>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</si>
  <si>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</si>
  <si>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</si>
  <si>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</si>
  <si>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</si>
  <si>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</si>
  <si>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</si>
  <si>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</si>
  <si>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</si>
  <si>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CUST023</t>
  </si>
  <si>
    <t>ORD0275</t>
  </si>
  <si>
    <t>ORD0276</t>
  </si>
  <si>
    <t>ORD0277</t>
  </si>
  <si>
    <t>ORD0278</t>
  </si>
  <si>
    <t>CUST011</t>
  </si>
  <si>
    <t>ORD0279</t>
  </si>
  <si>
    <t>ORD0280</t>
  </si>
  <si>
    <t>ORD0281</t>
  </si>
  <si>
    <t>CUST028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</si>
  <si>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</si>
  <si>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</si>
  <si>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</si>
  <si>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</si>
  <si>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</si>
  <si>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</si>
  <si>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</si>
  <si>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</si>
  <si>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</si>
  <si>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</si>
  <si>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</si>
  <si>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</si>
  <si>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</si>
  <si>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</si>
  <si>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</si>
  <si>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</si>
  <si>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</si>
  <si>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</si>
  <si>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</si>
  <si>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</si>
  <si>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</si>
  <si>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</si>
  <si>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</si>
  <si>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</si>
  <si>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</si>
  <si>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</si>
  <si>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</si>
  <si>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</si>
  <si>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</si>
  <si>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</si>
  <si>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</si>
  <si>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</si>
  <si>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</si>
  <si>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</si>
  <si>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</si>
  <si>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</si>
  <si>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</si>
  <si>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</si>
  <si>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</si>
  <si>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Unit_Price</t>
  </si>
  <si>
    <t>Revenue</t>
  </si>
  <si>
    <t>Unit_Cost</t>
  </si>
  <si>
    <t>Profit</t>
  </si>
  <si>
    <t>Region</t>
  </si>
  <si>
    <t>Row Labels</t>
  </si>
  <si>
    <t>East</t>
  </si>
  <si>
    <t>North</t>
  </si>
  <si>
    <t>South</t>
  </si>
  <si>
    <t>West</t>
  </si>
  <si>
    <t>Grand Total</t>
  </si>
  <si>
    <t>Sum of Revenue</t>
  </si>
  <si>
    <t>Sum of Profit</t>
  </si>
  <si>
    <t>Product_Name</t>
  </si>
  <si>
    <t>Air Fryer</t>
  </si>
  <si>
    <t>Blender</t>
  </si>
  <si>
    <t>Bookshelf</t>
  </si>
  <si>
    <t>Desk</t>
  </si>
  <si>
    <t>Headphones</t>
  </si>
  <si>
    <t>Laptop</t>
  </si>
  <si>
    <t>Microwave</t>
  </si>
  <si>
    <t>Office Chair</t>
  </si>
  <si>
    <t>Smartphone</t>
  </si>
  <si>
    <t>Vacuum Cleaner</t>
  </si>
  <si>
    <t>Customer_Segment</t>
  </si>
  <si>
    <t>Consumer</t>
  </si>
  <si>
    <t>Corporate</t>
  </si>
  <si>
    <t>Home Office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</si>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</sst>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lix\OneDrive\Desktop\DATA%20ANALYTICS%20PROJECT\e-commerce%20customer%20and%20revenue%20analysis\products.csv" TargetMode="External"/><Relationship Id="rId1" Type="http://schemas.openxmlformats.org/officeDocument/2006/relationships/externalLinkPath" Target="file:///C:\Users\felix\OneDrive\Desktop\DATA%20ANALYTICS%20PROJECT\e-commerce%20customer%20and%20revenue%20analysis\products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lix\OneDrive\Desktop\DATA%20ANALYTICS%20PROJECT\e-commerce%20customer%20and%20revenue%20analysis\customers.csv" TargetMode="External"/><Relationship Id="rId1" Type="http://schemas.openxmlformats.org/officeDocument/2006/relationships/externalLinkPath" Target="file:///C:\Users\felix\OneDrive\Desktop\DATA%20ANALYTICS%20PROJECT\e-commerce%20customer%20and%20revenue%20analysis\customer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s"/>
    </sheetNames>
    <sheetDataSet>
      <sheetData sheetId="0">
        <row r="2">
          <cell r="A2" t="str">
            <v>PROD001</v>
          </cell>
          <cell r="C2" t="str">
            <v>Laptop</v>
          </cell>
          <cell r="D2">
            <v>850</v>
          </cell>
          <cell r="E2">
            <v>187</v>
          </cell>
        </row>
        <row r="3">
          <cell r="A3" t="str">
            <v>PROD002</v>
          </cell>
          <cell r="C3" t="str">
            <v>Smartphone</v>
          </cell>
          <cell r="D3">
            <v>600</v>
          </cell>
          <cell r="E3">
            <v>120</v>
          </cell>
        </row>
        <row r="4">
          <cell r="A4" t="str">
            <v>PROD003</v>
          </cell>
          <cell r="C4" t="str">
            <v>Headphones</v>
          </cell>
          <cell r="D4">
            <v>90</v>
          </cell>
          <cell r="E4">
            <v>25.2</v>
          </cell>
        </row>
        <row r="5">
          <cell r="A5" t="str">
            <v>PROD004</v>
          </cell>
          <cell r="C5" t="str">
            <v>Office Chair</v>
          </cell>
          <cell r="D5">
            <v>180</v>
          </cell>
          <cell r="E5">
            <v>54</v>
          </cell>
        </row>
        <row r="6">
          <cell r="A6" t="str">
            <v>PROD005</v>
          </cell>
          <cell r="C6" t="str">
            <v>Desk</v>
          </cell>
          <cell r="D6">
            <v>320</v>
          </cell>
          <cell r="E6">
            <v>86.4</v>
          </cell>
        </row>
        <row r="7">
          <cell r="A7" t="str">
            <v>PROD006</v>
          </cell>
          <cell r="C7" t="str">
            <v>Bookshelf</v>
          </cell>
          <cell r="D7">
            <v>210</v>
          </cell>
          <cell r="E7">
            <v>52.5</v>
          </cell>
        </row>
        <row r="8">
          <cell r="A8" t="str">
            <v>PROD007</v>
          </cell>
          <cell r="C8" t="str">
            <v>Microwave</v>
          </cell>
          <cell r="D8">
            <v>160</v>
          </cell>
          <cell r="E8">
            <v>38.4</v>
          </cell>
        </row>
        <row r="9">
          <cell r="A9" t="str">
            <v>PROD008</v>
          </cell>
          <cell r="C9" t="str">
            <v>Blender</v>
          </cell>
          <cell r="D9">
            <v>70</v>
          </cell>
          <cell r="E9">
            <v>22.4</v>
          </cell>
        </row>
        <row r="10">
          <cell r="A10" t="str">
            <v>PROD009</v>
          </cell>
          <cell r="C10" t="str">
            <v>Air Fryer</v>
          </cell>
          <cell r="D10">
            <v>130</v>
          </cell>
          <cell r="E10">
            <v>33.799999999999997</v>
          </cell>
        </row>
        <row r="11">
          <cell r="A11" t="str">
            <v>PROD010</v>
          </cell>
          <cell r="C11" t="str">
            <v>Vacuum Cleaner</v>
          </cell>
          <cell r="D11">
            <v>240</v>
          </cell>
          <cell r="E11">
            <v>55.2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s"/>
    </sheetNames>
    <sheetDataSet>
      <sheetData sheetId="0">
        <row r="2">
          <cell r="A2" t="str">
            <v>CUST001</v>
          </cell>
          <cell r="C2" t="str">
            <v>West</v>
          </cell>
          <cell r="E2" t="str">
            <v>Home Office</v>
          </cell>
        </row>
        <row r="3">
          <cell r="A3" t="str">
            <v>CUST002</v>
          </cell>
          <cell r="C3" t="str">
            <v>South</v>
          </cell>
          <cell r="E3" t="str">
            <v>Consumer</v>
          </cell>
        </row>
        <row r="4">
          <cell r="A4" t="str">
            <v>CUST003</v>
          </cell>
          <cell r="C4" t="str">
            <v>West</v>
          </cell>
          <cell r="E4" t="str">
            <v>Corporate</v>
          </cell>
        </row>
        <row r="5">
          <cell r="A5" t="str">
            <v>CUST004</v>
          </cell>
          <cell r="C5" t="str">
            <v>West</v>
          </cell>
          <cell r="E5" t="str">
            <v>Consumer</v>
          </cell>
        </row>
        <row r="6">
          <cell r="A6" t="str">
            <v>CUST005</v>
          </cell>
          <cell r="C6" t="str">
            <v>West</v>
          </cell>
          <cell r="E6" t="str">
            <v>Consumer</v>
          </cell>
        </row>
        <row r="7">
          <cell r="A7" t="str">
            <v>CUST006</v>
          </cell>
          <cell r="C7" t="str">
            <v>North</v>
          </cell>
          <cell r="E7" t="str">
            <v>Corporate</v>
          </cell>
        </row>
        <row r="8">
          <cell r="A8" t="str">
            <v>CUST007</v>
          </cell>
          <cell r="C8" t="str">
            <v>East</v>
          </cell>
          <cell r="E8" t="str">
            <v>Consumer</v>
          </cell>
        </row>
        <row r="9">
          <cell r="A9" t="str">
            <v>CUST008</v>
          </cell>
          <cell r="C9" t="str">
            <v>East</v>
          </cell>
          <cell r="E9" t="str">
            <v>Consumer</v>
          </cell>
        </row>
        <row r="10">
          <cell r="A10" t="str">
            <v>CUST009</v>
          </cell>
          <cell r="C10" t="str">
            <v>East</v>
          </cell>
          <cell r="E10" t="str">
            <v>Consumer</v>
          </cell>
        </row>
        <row r="11">
          <cell r="A11" t="str">
            <v>CUST010</v>
          </cell>
          <cell r="C11" t="str">
            <v>West</v>
          </cell>
          <cell r="E11" t="str">
            <v>Corporate</v>
          </cell>
        </row>
        <row r="12">
          <cell r="A12" t="str">
            <v>CUST011</v>
          </cell>
          <cell r="C12" t="str">
            <v>East</v>
          </cell>
          <cell r="E12" t="str">
            <v>Home Office</v>
          </cell>
        </row>
        <row r="13">
          <cell r="A13" t="str">
            <v>CUST012</v>
          </cell>
          <cell r="C13" t="str">
            <v>West</v>
          </cell>
          <cell r="E13" t="str">
            <v>Consumer</v>
          </cell>
        </row>
        <row r="14">
          <cell r="A14" t="str">
            <v>CUST013</v>
          </cell>
          <cell r="C14" t="str">
            <v>East</v>
          </cell>
          <cell r="E14" t="str">
            <v>Home Office</v>
          </cell>
        </row>
        <row r="15">
          <cell r="A15" t="str">
            <v>CUST014</v>
          </cell>
          <cell r="C15" t="str">
            <v>South</v>
          </cell>
          <cell r="E15" t="str">
            <v>Consumer</v>
          </cell>
        </row>
        <row r="16">
          <cell r="A16" t="str">
            <v>CUST015</v>
          </cell>
          <cell r="C16" t="str">
            <v>South</v>
          </cell>
          <cell r="E16" t="str">
            <v>Consumer</v>
          </cell>
        </row>
        <row r="17">
          <cell r="A17" t="str">
            <v>CUST016</v>
          </cell>
          <cell r="C17" t="str">
            <v>West</v>
          </cell>
          <cell r="E17" t="str">
            <v>Corporate</v>
          </cell>
        </row>
        <row r="18">
          <cell r="A18" t="str">
            <v>CUST017</v>
          </cell>
          <cell r="C18" t="str">
            <v>East</v>
          </cell>
          <cell r="E18" t="str">
            <v>Corporate</v>
          </cell>
        </row>
        <row r="19">
          <cell r="A19" t="str">
            <v>CUST018</v>
          </cell>
          <cell r="C19" t="str">
            <v>South</v>
          </cell>
          <cell r="E19" t="str">
            <v>Corporate</v>
          </cell>
        </row>
        <row r="20">
          <cell r="A20" t="str">
            <v>CUST019</v>
          </cell>
          <cell r="C20" t="str">
            <v>West</v>
          </cell>
          <cell r="E20" t="str">
            <v>Home Office</v>
          </cell>
        </row>
        <row r="21">
          <cell r="A21" t="str">
            <v>CUST020</v>
          </cell>
          <cell r="C21" t="str">
            <v>South</v>
          </cell>
          <cell r="E21" t="str">
            <v>Corporate</v>
          </cell>
        </row>
        <row r="22">
          <cell r="A22" t="str">
            <v>CUST021</v>
          </cell>
          <cell r="C22" t="str">
            <v>East</v>
          </cell>
          <cell r="E22" t="str">
            <v>Home Office</v>
          </cell>
        </row>
        <row r="23">
          <cell r="A23" t="str">
            <v>CUST022</v>
          </cell>
          <cell r="C23" t="str">
            <v>South</v>
          </cell>
          <cell r="E23" t="str">
            <v>Corporate</v>
          </cell>
        </row>
        <row r="24">
          <cell r="A24" t="str">
            <v>CUST023</v>
          </cell>
          <cell r="C24" t="str">
            <v>South</v>
          </cell>
          <cell r="E24" t="str">
            <v>Corporate</v>
          </cell>
        </row>
        <row r="25">
          <cell r="A25" t="str">
            <v>CUST024</v>
          </cell>
          <cell r="C25" t="str">
            <v>East</v>
          </cell>
          <cell r="E25" t="str">
            <v>Consumer</v>
          </cell>
        </row>
        <row r="26">
          <cell r="A26" t="str">
            <v>CUST025</v>
          </cell>
          <cell r="C26" t="str">
            <v>East</v>
          </cell>
          <cell r="E26" t="str">
            <v>Home Office</v>
          </cell>
        </row>
        <row r="27">
          <cell r="A27" t="str">
            <v>CUST026</v>
          </cell>
          <cell r="C27" t="str">
            <v>North</v>
          </cell>
          <cell r="E27" t="str">
            <v>Corporate</v>
          </cell>
        </row>
        <row r="28">
          <cell r="A28" t="str">
            <v>CUST027</v>
          </cell>
          <cell r="C28" t="str">
            <v>East</v>
          </cell>
          <cell r="E28" t="str">
            <v>Consumer</v>
          </cell>
        </row>
        <row r="29">
          <cell r="A29" t="str">
            <v>CUST028</v>
          </cell>
          <cell r="C29" t="str">
            <v>East</v>
          </cell>
          <cell r="E29" t="str">
            <v>Home Office</v>
          </cell>
        </row>
        <row r="30">
          <cell r="A30" t="str">
            <v>CUST029</v>
          </cell>
          <cell r="C30" t="str">
            <v>North</v>
          </cell>
          <cell r="E30" t="str">
            <v>Consumer</v>
          </cell>
        </row>
        <row r="31">
          <cell r="A31" t="str">
            <v>CUST030</v>
          </cell>
          <cell r="C31" t="str">
            <v>North</v>
          </cell>
          <cell r="E31" t="str">
            <v>Consumer</v>
          </cell>
        </row>
        <row r="32">
          <cell r="A32" t="str">
            <v>CUST031</v>
          </cell>
          <cell r="C32" t="str">
            <v>South</v>
          </cell>
          <cell r="E32" t="str">
            <v>Consumer</v>
          </cell>
        </row>
        <row r="33">
          <cell r="A33" t="str">
            <v>CUST032</v>
          </cell>
          <cell r="C33" t="str">
            <v>North</v>
          </cell>
          <cell r="E33" t="str">
            <v>Consumer</v>
          </cell>
        </row>
        <row r="34">
          <cell r="A34" t="str">
            <v>CUST033</v>
          </cell>
          <cell r="C34" t="str">
            <v>North</v>
          </cell>
          <cell r="E34" t="str">
            <v>Corporate</v>
          </cell>
        </row>
        <row r="35">
          <cell r="A35" t="str">
            <v>CUST034</v>
          </cell>
          <cell r="C35" t="str">
            <v>East</v>
          </cell>
          <cell r="E35" t="str">
            <v>Consumer</v>
          </cell>
        </row>
        <row r="36">
          <cell r="A36" t="str">
            <v>CUST035</v>
          </cell>
          <cell r="C36" t="str">
            <v>West</v>
          </cell>
          <cell r="E36" t="str">
            <v>Home Office</v>
          </cell>
        </row>
        <row r="37">
          <cell r="A37" t="str">
            <v>CUST036</v>
          </cell>
          <cell r="C37" t="str">
            <v>East</v>
          </cell>
          <cell r="E37" t="str">
            <v>Corporate</v>
          </cell>
        </row>
        <row r="38">
          <cell r="A38" t="str">
            <v>CUST037</v>
          </cell>
          <cell r="C38" t="str">
            <v>South</v>
          </cell>
          <cell r="E38" t="str">
            <v>Consumer</v>
          </cell>
        </row>
        <row r="39">
          <cell r="A39" t="str">
            <v>CUST038</v>
          </cell>
          <cell r="C39" t="str">
            <v>South</v>
          </cell>
          <cell r="E39" t="str">
            <v>Consumer</v>
          </cell>
        </row>
        <row r="40">
          <cell r="A40" t="str">
            <v>CUST039</v>
          </cell>
          <cell r="C40" t="str">
            <v>East</v>
          </cell>
          <cell r="E40" t="str">
            <v>Home Office</v>
          </cell>
        </row>
        <row r="41">
          <cell r="A41" t="str">
            <v>CUST040</v>
          </cell>
          <cell r="C41" t="str">
            <v>South</v>
          </cell>
          <cell r="E41" t="str">
            <v>Corporate</v>
          </cell>
        </row>
        <row r="42">
          <cell r="A42" t="str">
            <v>CUST041</v>
          </cell>
          <cell r="C42" t="str">
            <v>West</v>
          </cell>
          <cell r="E42" t="str">
            <v>Corporate</v>
          </cell>
        </row>
        <row r="43">
          <cell r="A43" t="str">
            <v>CUST042</v>
          </cell>
          <cell r="C43" t="str">
            <v>West</v>
          </cell>
          <cell r="E43" t="str">
            <v>Corporate</v>
          </cell>
        </row>
        <row r="44">
          <cell r="A44" t="str">
            <v>CUST043</v>
          </cell>
          <cell r="C44" t="str">
            <v>South</v>
          </cell>
          <cell r="E44" t="str">
            <v>Consumer</v>
          </cell>
        </row>
        <row r="45">
          <cell r="A45" t="str">
            <v>CUST044</v>
          </cell>
          <cell r="C45" t="str">
            <v>West</v>
          </cell>
          <cell r="E45" t="str">
            <v>Home Office</v>
          </cell>
        </row>
        <row r="46">
          <cell r="A46" t="str">
            <v>CUST045</v>
          </cell>
          <cell r="C46" t="str">
            <v>West</v>
          </cell>
          <cell r="E46" t="str">
            <v>Consumer</v>
          </cell>
        </row>
        <row r="47">
          <cell r="A47" t="str">
            <v>CUST046</v>
          </cell>
          <cell r="C47" t="str">
            <v>North</v>
          </cell>
          <cell r="E47" t="str">
            <v>Consumer</v>
          </cell>
        </row>
        <row r="48">
          <cell r="A48" t="str">
            <v>CUST047</v>
          </cell>
          <cell r="C48" t="str">
            <v>North</v>
          </cell>
          <cell r="E48" t="str">
            <v>Home Office</v>
          </cell>
        </row>
        <row r="49">
          <cell r="A49" t="str">
            <v>CUST048</v>
          </cell>
          <cell r="C49" t="str">
            <v>East</v>
          </cell>
          <cell r="E49" t="str">
            <v>Home Office</v>
          </cell>
        </row>
        <row r="50">
          <cell r="A50" t="str">
            <v>CUST049</v>
          </cell>
          <cell r="C50" t="str">
            <v>East</v>
          </cell>
          <cell r="E50" t="str">
            <v>Home Office</v>
          </cell>
        </row>
        <row r="51">
          <cell r="A51" t="str">
            <v>CUST050</v>
          </cell>
          <cell r="C51" t="str">
            <v>West</v>
          </cell>
          <cell r="E51" t="str">
            <v>Consumer</v>
          </cell>
        </row>
        <row r="52">
          <cell r="A52" t="str">
            <v>CUST051</v>
          </cell>
          <cell r="C52" t="str">
            <v>East</v>
          </cell>
          <cell r="E52" t="str">
            <v>Home Office</v>
          </cell>
        </row>
        <row r="53">
          <cell r="A53" t="str">
            <v>CUST052</v>
          </cell>
          <cell r="C53" t="str">
            <v>South</v>
          </cell>
          <cell r="E53" t="str">
            <v>Consumer</v>
          </cell>
        </row>
        <row r="54">
          <cell r="A54" t="str">
            <v>CUST053</v>
          </cell>
          <cell r="C54" t="str">
            <v>West</v>
          </cell>
          <cell r="E54" t="str">
            <v>Home Office</v>
          </cell>
        </row>
        <row r="55">
          <cell r="A55" t="str">
            <v>CUST054</v>
          </cell>
          <cell r="C55" t="str">
            <v>South</v>
          </cell>
          <cell r="E55" t="str">
            <v>Consumer</v>
          </cell>
        </row>
        <row r="56">
          <cell r="A56" t="str">
            <v>CUST055</v>
          </cell>
          <cell r="C56" t="str">
            <v>West</v>
          </cell>
          <cell r="E56" t="str">
            <v>Consumer</v>
          </cell>
        </row>
        <row r="57">
          <cell r="A57" t="str">
            <v>CUST056</v>
          </cell>
          <cell r="C57" t="str">
            <v>North</v>
          </cell>
          <cell r="E57" t="str">
            <v>Home Office</v>
          </cell>
        </row>
        <row r="58">
          <cell r="A58" t="str">
            <v>CUST057</v>
          </cell>
          <cell r="C58" t="str">
            <v>North</v>
          </cell>
          <cell r="E58" t="str">
            <v>Corporate</v>
          </cell>
        </row>
        <row r="59">
          <cell r="A59" t="str">
            <v>CUST058</v>
          </cell>
          <cell r="C59" t="str">
            <v>South</v>
          </cell>
          <cell r="E59" t="str">
            <v>Consumer</v>
          </cell>
        </row>
        <row r="60">
          <cell r="A60" t="str">
            <v>CUST059</v>
          </cell>
          <cell r="C60" t="str">
            <v>North</v>
          </cell>
          <cell r="E60" t="str">
            <v>Corporate</v>
          </cell>
        </row>
        <row r="61">
          <cell r="A61" t="str">
            <v>CUST060</v>
          </cell>
          <cell r="C61" t="str">
            <v>North</v>
          </cell>
          <cell r="E61" t="str">
            <v>Consumer</v>
          </cell>
        </row>
        <row r="62">
          <cell r="A62" t="str">
            <v>CUST061</v>
          </cell>
          <cell r="C62" t="str">
            <v>West</v>
          </cell>
          <cell r="E62" t="str">
            <v>Corporate</v>
          </cell>
        </row>
        <row r="63">
          <cell r="A63" t="str">
            <v>CUST062</v>
          </cell>
          <cell r="C63" t="str">
            <v>West</v>
          </cell>
          <cell r="E63" t="str">
            <v>Consumer</v>
          </cell>
        </row>
        <row r="64">
          <cell r="A64" t="str">
            <v>CUST063</v>
          </cell>
          <cell r="C64" t="str">
            <v>North</v>
          </cell>
          <cell r="E64" t="str">
            <v>Corporate</v>
          </cell>
        </row>
        <row r="65">
          <cell r="A65" t="str">
            <v>CUST064</v>
          </cell>
          <cell r="C65" t="str">
            <v>East</v>
          </cell>
          <cell r="E65" t="str">
            <v>Consumer</v>
          </cell>
        </row>
        <row r="66">
          <cell r="A66" t="str">
            <v>CUST065</v>
          </cell>
          <cell r="C66" t="str">
            <v>North</v>
          </cell>
          <cell r="E66" t="str">
            <v>Consumer</v>
          </cell>
        </row>
        <row r="67">
          <cell r="A67" t="str">
            <v>CUST066</v>
          </cell>
          <cell r="C67" t="str">
            <v>West</v>
          </cell>
          <cell r="E67" t="str">
            <v>Consumer</v>
          </cell>
        </row>
        <row r="68">
          <cell r="A68" t="str">
            <v>CUST067</v>
          </cell>
          <cell r="C68" t="str">
            <v>North</v>
          </cell>
          <cell r="E68" t="str">
            <v>Corporate</v>
          </cell>
        </row>
        <row r="69">
          <cell r="A69" t="str">
            <v>CUST068</v>
          </cell>
          <cell r="C69" t="str">
            <v>North</v>
          </cell>
          <cell r="E69" t="str">
            <v>Consumer</v>
          </cell>
        </row>
        <row r="70">
          <cell r="A70" t="str">
            <v>CUST069</v>
          </cell>
          <cell r="C70" t="str">
            <v>West</v>
          </cell>
          <cell r="E70" t="str">
            <v>Corporate</v>
          </cell>
        </row>
        <row r="71">
          <cell r="A71" t="str">
            <v>CUST070</v>
          </cell>
          <cell r="C71" t="str">
            <v>East</v>
          </cell>
          <cell r="E71" t="str">
            <v>Home Office</v>
          </cell>
        </row>
        <row r="72">
          <cell r="A72" t="str">
            <v>CUST071</v>
          </cell>
          <cell r="C72" t="str">
            <v>North</v>
          </cell>
          <cell r="E72" t="str">
            <v>Consumer</v>
          </cell>
        </row>
        <row r="73">
          <cell r="A73" t="str">
            <v>CUST072</v>
          </cell>
          <cell r="C73" t="str">
            <v>South</v>
          </cell>
          <cell r="E73" t="str">
            <v>Home Office</v>
          </cell>
        </row>
        <row r="74">
          <cell r="A74" t="str">
            <v>CUST073</v>
          </cell>
          <cell r="C74" t="str">
            <v>West</v>
          </cell>
          <cell r="E74" t="str">
            <v>Corporate</v>
          </cell>
        </row>
        <row r="75">
          <cell r="A75" t="str">
            <v>CUST074</v>
          </cell>
          <cell r="C75" t="str">
            <v>West</v>
          </cell>
          <cell r="E75" t="str">
            <v>Corporate</v>
          </cell>
        </row>
        <row r="76">
          <cell r="A76" t="str">
            <v>CUST075</v>
          </cell>
          <cell r="C76" t="str">
            <v>South</v>
          </cell>
          <cell r="E76" t="str">
            <v>Home Office</v>
          </cell>
        </row>
        <row r="77">
          <cell r="A77" t="str">
            <v>CUST076</v>
          </cell>
          <cell r="C77" t="str">
            <v>South</v>
          </cell>
          <cell r="E77" t="str">
            <v>Home Office</v>
          </cell>
        </row>
        <row r="78">
          <cell r="A78" t="str">
            <v>CUST077</v>
          </cell>
          <cell r="C78" t="str">
            <v>South</v>
          </cell>
          <cell r="E78" t="str">
            <v>Consumer</v>
          </cell>
        </row>
        <row r="79">
          <cell r="A79" t="str">
            <v>CUST078</v>
          </cell>
          <cell r="C79" t="str">
            <v>South</v>
          </cell>
          <cell r="E79" t="str">
            <v>Home Office</v>
          </cell>
        </row>
        <row r="80">
          <cell r="A80" t="str">
            <v>CUST079</v>
          </cell>
          <cell r="C80" t="str">
            <v>West</v>
          </cell>
          <cell r="E80" t="str">
            <v>Home Office</v>
          </cell>
        </row>
        <row r="81">
          <cell r="A81" t="str">
            <v>CUST080</v>
          </cell>
          <cell r="C81" t="str">
            <v>East</v>
          </cell>
          <cell r="E81" t="str">
            <v>Consumer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x Dada" refreshedDate="46194.618855324072" createdVersion="8" refreshedVersion="8" minRefreshableVersion="3" recordCount="320" xr:uid="{4513D1F5-3320-4E3C-9A7B-E7C22E74B229}">
  <cacheSource type="worksheet">
    <worksheetSource ref="A1:N321" sheet="orders_raw"/>
  </cacheSource>
  <cacheFields count="14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/>
    </cacheField>
    <cacheField name="Customer_ID" numFmtId="0">
      <sharedItems/>
    </cacheField>
    <cacheField name="Product_ID" numFmtId="0">
      <sharedItems count="10">
        <s v="PROD004"/>
        <s v="PROD002"/>
        <s v="PROD005"/>
        <s v="PROD001"/>
        <s v="PROD009"/>
        <s v="PROD006"/>
        <s v="PROD007"/>
        <s v="PROD010"/>
        <s v="PROD003"/>
        <s v="PROD008"/>
      </sharedItems>
    </cacheField>
    <cacheField name="Sales_Rep" numFmtId="0">
      <sharedItems/>
    </cacheField>
    <cacheField name="Quantity" numFmtId="0">
      <sharedItems containsSemiMixedTypes="0" containsString="0" containsNumber="1" containsInteger="1" minValue="1" maxValue="5"/>
    </cacheField>
    <cacheField name="Discount_Rate" numFmtId="0">
      <sharedItems containsSemiMixedTypes="0" containsString="0" containsNumber="1" minValue="-0.05" maxValue="0.15"/>
    </cacheField>
    <cacheField name="Payment_Status" numFmtId="0">
      <sharedItems/>
    </cacheField>
    <cacheField name="Shipping_Cost" numFmtId="0">
      <sharedItems containsSemiMixedTypes="0" containsString="0" containsNumber="1" containsInteger="1" minValue="8" maxValue="20"/>
    </cacheField>
    <cacheField name="Unit_Price" numFmtId="0">
      <sharedItems containsSemiMixedTypes="0" containsString="0" containsNumber="1" containsInteger="1" minValue="70" maxValue="850"/>
    </cacheField>
    <cacheField name="Revenue" numFmtId="0">
      <sharedItems containsSemiMixedTypes="0" containsString="0" containsNumber="1" minValue="59.5" maxValue="4250"/>
    </cacheField>
    <cacheField name="Unit_Cost" numFmtId="0">
      <sharedItems containsSemiMixedTypes="0" containsString="0" containsNumber="1" minValue="22.4" maxValue="187"/>
    </cacheField>
    <cacheField name="Profit" numFmtId="0">
      <sharedItems containsSemiMixedTypes="0" containsString="0" containsNumber="1" minValue="19.100000000000001" maxValue="3295"/>
    </cacheField>
    <cacheField name="Region" numFmtId="0">
      <sharedItems count="4">
        <s v="West"/>
        <s v="East"/>
        <s v="North"/>
        <s v="Sou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x Dada" refreshedDate="46194.762538657407" createdVersion="8" refreshedVersion="8" minRefreshableVersion="3" recordCount="320" xr:uid="{A3F12399-AB38-4B2A-87D5-A7ABDFE1D58E}">
  <cacheSource type="worksheet">
    <worksheetSource ref="A1:O321" sheet="orders_raw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/>
    </cacheField>
    <cacheField name="Customer_ID" numFmtId="0">
      <sharedItems count="78">
        <s v="CUST041"/>
        <s v="CUST069"/>
        <s v="CUST048"/>
        <s v="CUST068"/>
        <s v="CUST015"/>
        <s v="CUST044"/>
        <s v="CUST055"/>
        <s v="CUST057"/>
        <s v="CUST005"/>
        <s v="CUST047"/>
        <s v="CUST072"/>
        <s v="CUST053"/>
        <s v="CUST021"/>
        <s v="CUST045"/>
        <s v="CUST036"/>
        <s v="CUST004"/>
        <s v="CUST077"/>
        <s v="CUST074"/>
        <s v="CUST026"/>
        <s v="CUST016"/>
        <s v="CUST038"/>
        <s v="CUST073"/>
        <s v="CUST056"/>
        <s v="CUST061"/>
        <s v="CUST012"/>
        <s v="CUST032"/>
        <s v="CUST050"/>
        <s v="CUST059"/>
        <s v="CUST079"/>
        <s v="CUST034"/>
        <s v="CUST010"/>
        <s v="CUST020"/>
        <s v="CUST043"/>
        <s v="CUST003"/>
        <s v="CUST054"/>
        <s v="CUST022"/>
        <s v="CUST049"/>
        <s v="CUST033"/>
        <s v="CUST009"/>
        <s v="CUST031"/>
        <s v="CUST014"/>
        <s v="CUST062"/>
        <s v="CUST058"/>
        <s v="CUST064"/>
        <s v="CUST075"/>
        <s v="CUST046"/>
        <s v="CUST076"/>
        <s v="CUST007"/>
        <s v="CUST078"/>
        <s v="CUST039"/>
        <s v="CUST013"/>
        <s v="CUST071"/>
        <s v="CUST030"/>
        <s v="CUST065"/>
        <s v="CUST042"/>
        <s v="CUST027"/>
        <s v="CUST019"/>
        <s v="CUST051"/>
        <s v="CUST006"/>
        <s v="CUST080"/>
        <s v="CUST017"/>
        <s v="CUST029"/>
        <s v="CUST040"/>
        <s v="CUST035"/>
        <s v="CUST001"/>
        <s v="CUST008"/>
        <s v="CUST025"/>
        <s v="CUST063"/>
        <s v="CUST070"/>
        <s v="CUST037"/>
        <s v="CUST066"/>
        <s v="CUST018"/>
        <s v="CUST060"/>
        <s v="CUST024"/>
        <s v="CUST052"/>
        <s v="CUST023"/>
        <s v="CUST011"/>
        <s v="CUST028"/>
      </sharedItems>
    </cacheField>
    <cacheField name="Product_ID" numFmtId="0">
      <sharedItems/>
    </cacheField>
    <cacheField name="Sales_Rep" numFmtId="0">
      <sharedItems count="5">
        <s v="Bola"/>
        <s v="Daniel"/>
        <s v="Grace"/>
        <s v="Maya"/>
        <s v="Kevin"/>
      </sharedItems>
    </cacheField>
    <cacheField name="Quantity" numFmtId="0">
      <sharedItems containsSemiMixedTypes="0" containsString="0" containsNumber="1" containsInteger="1" minValue="1" maxValue="5"/>
    </cacheField>
    <cacheField name="Discount_Rate" numFmtId="0">
      <sharedItems containsSemiMixedTypes="0" containsString="0" containsNumber="1" minValue="-0.05" maxValue="0.15"/>
    </cacheField>
    <cacheField name="Payment_Status" numFmtId="0">
      <sharedItems/>
    </cacheField>
    <cacheField name="Shipping_Cost" numFmtId="0">
      <sharedItems containsSemiMixedTypes="0" containsString="0" containsNumber="1" containsInteger="1" minValue="8" maxValue="20"/>
    </cacheField>
    <cacheField name="Unit_Price" numFmtId="0">
      <sharedItems containsSemiMixedTypes="0" containsString="0" containsNumber="1" containsInteger="1" minValue="70" maxValue="850"/>
    </cacheField>
    <cacheField name="Revenue" numFmtId="0">
      <sharedItems containsSemiMixedTypes="0" containsString="0" containsNumber="1" minValue="59.5" maxValue="4250"/>
    </cacheField>
    <cacheField name="Unit_Cost" numFmtId="0">
      <sharedItems containsSemiMixedTypes="0" containsString="0" containsNumber="1" minValue="22.4" maxValue="187"/>
    </cacheField>
    <cacheField name="Profit" numFmtId="0">
      <sharedItems containsSemiMixedTypes="0" containsString="0" containsNumber="1" minValue="19.100000000000001" maxValue="3295"/>
    </cacheField>
    <cacheField name="Region" numFmtId="0">
      <sharedItems/>
    </cacheField>
    <cacheField name="Product_Name" numFmtId="0">
      <sharedItems count="10">
        <s v="Office Chair"/>
        <s v="Smartphone"/>
        <s v="Desk"/>
        <s v="Laptop"/>
        <s v="Air Fryer"/>
        <s v="Bookshelf"/>
        <s v="Microwave"/>
        <s v="Vacuum Cleaner"/>
        <s v="Headphones"/>
        <s v="Blend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x Dada" refreshedDate="46194.769776504632" createdVersion="8" refreshedVersion="8" minRefreshableVersion="3" recordCount="320" xr:uid="{5094BC55-DC28-43A9-95AD-0DE7A4FCF876}">
  <cacheSource type="worksheet">
    <worksheetSource ref="A1:P321" sheet="orders_raw"/>
  </cacheSource>
  <cacheFields count="16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/>
    </cacheField>
    <cacheField name="Customer_ID" numFmtId="0">
      <sharedItems/>
    </cacheField>
    <cacheField name="Product_ID" numFmtId="0">
      <sharedItems/>
    </cacheField>
    <cacheField name="Sales_Rep" numFmtId="0">
      <sharedItems/>
    </cacheField>
    <cacheField name="Quantity" numFmtId="0">
      <sharedItems containsSemiMixedTypes="0" containsString="0" containsNumber="1" containsInteger="1" minValue="1" maxValue="5"/>
    </cacheField>
    <cacheField name="Discount_Rate" numFmtId="0">
      <sharedItems containsSemiMixedTypes="0" containsString="0" containsNumber="1" minValue="-0.05" maxValue="0.15"/>
    </cacheField>
    <cacheField name="Payment_Status" numFmtId="0">
      <sharedItems count="4">
        <s v="Paid"/>
        <s v="Pending"/>
        <s v="Refunded"/>
        <s v="Paid "/>
      </sharedItems>
    </cacheField>
    <cacheField name="Shipping_Cost" numFmtId="0">
      <sharedItems containsSemiMixedTypes="0" containsString="0" containsNumber="1" containsInteger="1" minValue="8" maxValue="20"/>
    </cacheField>
    <cacheField name="Unit_Price" numFmtId="0">
      <sharedItems containsSemiMixedTypes="0" containsString="0" containsNumber="1" containsInteger="1" minValue="70" maxValue="850"/>
    </cacheField>
    <cacheField name="Revenue" numFmtId="0">
      <sharedItems containsSemiMixedTypes="0" containsString="0" containsNumber="1" minValue="59.5" maxValue="4250"/>
    </cacheField>
    <cacheField name="Unit_Cost" numFmtId="0">
      <sharedItems containsSemiMixedTypes="0" containsString="0" containsNumber="1" minValue="22.4" maxValue="187"/>
    </cacheField>
    <cacheField name="Profit" numFmtId="0">
      <sharedItems containsSemiMixedTypes="0" containsString="0" containsNumber="1" minValue="19.100000000000001" maxValue="3295"/>
    </cacheField>
    <cacheField name="Region" numFmtId="0">
      <sharedItems/>
    </cacheField>
    <cacheField name="Product_Name" numFmtId="0">
      <sharedItems/>
    </cacheField>
    <cacheField name="Customer_Segment" numFmtId="0">
      <sharedItems count="3">
        <s v="Corporate"/>
        <s v="Home Office"/>
        <s v="Consu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x Dada" refreshedDate="46194.785636689812" createdVersion="8" refreshedVersion="8" minRefreshableVersion="3" recordCount="320" xr:uid="{AACB1D7A-F001-4A5D-9ADE-AF75181C6F49}">
  <cacheSource type="worksheet">
    <worksheetSource ref="A1:Q321" sheet="orders_raw"/>
  </cacheSource>
  <cacheFields count="17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1T00:00:00"/>
    </cacheField>
    <cacheField name="Customer_ID" numFmtId="0">
      <sharedItems/>
    </cacheField>
    <cacheField name="Product_ID" numFmtId="0">
      <sharedItems/>
    </cacheField>
    <cacheField name="Sales_Rep" numFmtId="0">
      <sharedItems/>
    </cacheField>
    <cacheField name="Quantity" numFmtId="0">
      <sharedItems containsSemiMixedTypes="0" containsString="0" containsNumber="1" containsInteger="1" minValue="1" maxValue="5"/>
    </cacheField>
    <cacheField name="Discount_Rate" numFmtId="0">
      <sharedItems containsSemiMixedTypes="0" containsString="0" containsNumber="1" minValue="-0.05" maxValue="0.15"/>
    </cacheField>
    <cacheField name="Payment_Status" numFmtId="0">
      <sharedItems/>
    </cacheField>
    <cacheField name="Shipping_Cost" numFmtId="0">
      <sharedItems containsSemiMixedTypes="0" containsString="0" containsNumber="1" containsInteger="1" minValue="8" maxValue="20"/>
    </cacheField>
    <cacheField name="Unit_Price" numFmtId="0">
      <sharedItems containsSemiMixedTypes="0" containsString="0" containsNumber="1" containsInteger="1" minValue="70" maxValue="850"/>
    </cacheField>
    <cacheField name="Revenue" numFmtId="0">
      <sharedItems containsSemiMixedTypes="0" containsString="0" containsNumber="1" minValue="59.5" maxValue="4250"/>
    </cacheField>
    <cacheField name="Unit_Cost" numFmtId="0">
      <sharedItems containsSemiMixedTypes="0" containsString="0" containsNumber="1" minValue="22.4" maxValue="187"/>
    </cacheField>
    <cacheField name="Profit" numFmtId="0">
      <sharedItems containsSemiMixedTypes="0" containsString="0" containsNumber="1" minValue="19.100000000000001" maxValue="3295"/>
    </cacheField>
    <cacheField name="Region" numFmtId="0">
      <sharedItems/>
    </cacheField>
    <cacheField name="Product_Name" numFmtId="0">
      <sharedItems/>
    </cacheField>
    <cacheField name="Customer_Segment" numFmtId="0">
      <sharedItems/>
    </cacheField>
    <cacheField name="Month" numFmtId="0">
      <sharedItems count="12">
        <s v="November"/>
        <s v="October"/>
        <s v="June"/>
        <s v="December"/>
        <s v="February"/>
        <s v="January"/>
        <s v="March"/>
        <s v="May"/>
        <s v="July"/>
        <s v="April"/>
        <s v="September"/>
        <s v="Augu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ORD0001"/>
    <d v="2025-11-27T00:00:00"/>
    <s v="CUST041"/>
    <x v="0"/>
    <s v="Bola"/>
    <n v="3"/>
    <n v="0"/>
    <s v="Paid"/>
    <n v="15"/>
    <n v="180"/>
    <n v="540"/>
    <n v="54"/>
    <n v="363"/>
    <x v="0"/>
  </r>
  <r>
    <s v="ORD0002"/>
    <d v="2025-10-16T00:00:00"/>
    <s v="CUST041"/>
    <x v="1"/>
    <s v="Daniel"/>
    <n v="1"/>
    <n v="0.1"/>
    <s v="Paid"/>
    <n v="8"/>
    <n v="600"/>
    <n v="540"/>
    <n v="120"/>
    <n v="412"/>
    <x v="0"/>
  </r>
  <r>
    <s v="ORD0003"/>
    <d v="2025-06-28T00:00:00"/>
    <s v="CUST069"/>
    <x v="0"/>
    <s v="Daniel"/>
    <n v="5"/>
    <n v="0.05"/>
    <s v="Paid"/>
    <n v="10"/>
    <n v="180"/>
    <n v="855"/>
    <n v="54"/>
    <n v="575"/>
    <x v="0"/>
  </r>
  <r>
    <s v="ORD0004"/>
    <d v="2025-12-27T00:00:00"/>
    <s v="CUST048"/>
    <x v="2"/>
    <s v="Bola"/>
    <n v="2"/>
    <n v="0.1"/>
    <s v="Pending"/>
    <n v="18"/>
    <n v="320"/>
    <n v="576"/>
    <n v="86.4"/>
    <n v="385.2"/>
    <x v="1"/>
  </r>
  <r>
    <s v="ORD0005"/>
    <d v="2025-02-23T00:00:00"/>
    <s v="CUST068"/>
    <x v="3"/>
    <s v="Grace"/>
    <n v="5"/>
    <n v="0.05"/>
    <s v="Pending"/>
    <n v="12"/>
    <n v="850"/>
    <n v="4037.5"/>
    <n v="187"/>
    <n v="3090.5"/>
    <x v="2"/>
  </r>
  <r>
    <s v="ORD0006"/>
    <d v="2025-11-06T00:00:00"/>
    <s v="CUST015"/>
    <x v="1"/>
    <s v="Grace"/>
    <n v="5"/>
    <n v="0"/>
    <s v="Paid"/>
    <n v="20"/>
    <n v="600"/>
    <n v="3000"/>
    <n v="120"/>
    <n v="2380"/>
    <x v="3"/>
  </r>
  <r>
    <s v="ORD0007"/>
    <d v="2025-01-27T00:00:00"/>
    <s v="CUST044"/>
    <x v="0"/>
    <s v="Daniel"/>
    <n v="3"/>
    <n v="0.15"/>
    <s v="Paid"/>
    <n v="20"/>
    <n v="180"/>
    <n v="459"/>
    <n v="54"/>
    <n v="277"/>
    <x v="0"/>
  </r>
  <r>
    <s v="ORD0008"/>
    <d v="2025-03-08T00:00:00"/>
    <s v="CUST055"/>
    <x v="2"/>
    <s v="Bola"/>
    <n v="1"/>
    <n v="0"/>
    <s v="Paid"/>
    <n v="10"/>
    <n v="320"/>
    <n v="320"/>
    <n v="86.4"/>
    <n v="223.6"/>
    <x v="0"/>
  </r>
  <r>
    <s v="ORD0009"/>
    <d v="2025-02-08T00:00:00"/>
    <s v="CUST057"/>
    <x v="4"/>
    <s v="Grace"/>
    <n v="4"/>
    <n v="0.15"/>
    <s v="Paid"/>
    <n v="18"/>
    <n v="130"/>
    <n v="442"/>
    <n v="33.799999999999997"/>
    <n v="288.8"/>
    <x v="2"/>
  </r>
  <r>
    <s v="ORD0010"/>
    <d v="2025-03-07T00:00:00"/>
    <s v="CUST005"/>
    <x v="5"/>
    <s v="Daniel"/>
    <n v="5"/>
    <n v="0.15"/>
    <s v="Paid"/>
    <n v="12"/>
    <n v="210"/>
    <n v="892.5"/>
    <n v="52.5"/>
    <n v="618"/>
    <x v="0"/>
  </r>
  <r>
    <s v="ORD0011"/>
    <d v="2025-12-08T00:00:00"/>
    <s v="CUST047"/>
    <x v="3"/>
    <s v="Daniel"/>
    <n v="3"/>
    <n v="0"/>
    <s v="Paid"/>
    <n v="12"/>
    <n v="850"/>
    <n v="2550"/>
    <n v="187"/>
    <n v="1977"/>
    <x v="2"/>
  </r>
  <r>
    <s v="ORD0012"/>
    <d v="2025-05-02T00:00:00"/>
    <s v="CUST072"/>
    <x v="6"/>
    <s v="Grace"/>
    <n v="5"/>
    <n v="0"/>
    <s v="Pending"/>
    <n v="10"/>
    <n v="160"/>
    <n v="800"/>
    <n v="38.4"/>
    <n v="598"/>
    <x v="3"/>
  </r>
  <r>
    <s v="ORD0013"/>
    <d v="2025-07-30T00:00:00"/>
    <s v="CUST053"/>
    <x v="3"/>
    <s v="Grace"/>
    <n v="2"/>
    <n v="0.05"/>
    <s v="Pending"/>
    <n v="12"/>
    <n v="850"/>
    <n v="1615"/>
    <n v="187"/>
    <n v="1229"/>
    <x v="0"/>
  </r>
  <r>
    <s v="ORD0014"/>
    <d v="2025-04-24T00:00:00"/>
    <s v="CUST021"/>
    <x v="1"/>
    <s v="Grace"/>
    <n v="4"/>
    <n v="0"/>
    <s v="Pending"/>
    <n v="15"/>
    <n v="600"/>
    <n v="2400"/>
    <n v="120"/>
    <n v="1905"/>
    <x v="1"/>
  </r>
  <r>
    <s v="ORD0015"/>
    <d v="2025-04-09T00:00:00"/>
    <s v="CUST045"/>
    <x v="2"/>
    <s v="Maya"/>
    <n v="2"/>
    <n v="0"/>
    <s v="Paid"/>
    <n v="12"/>
    <n v="320"/>
    <n v="640"/>
    <n v="86.4"/>
    <n v="455.2"/>
    <x v="0"/>
  </r>
  <r>
    <s v="ORD0016"/>
    <d v="2025-07-24T00:00:00"/>
    <s v="CUST036"/>
    <x v="1"/>
    <s v="Kevin"/>
    <n v="3"/>
    <n v="0.05"/>
    <s v="Paid"/>
    <n v="12"/>
    <n v="600"/>
    <n v="1710"/>
    <n v="120"/>
    <n v="1338"/>
    <x v="1"/>
  </r>
  <r>
    <s v="ORD0017"/>
    <d v="2025-05-16T00:00:00"/>
    <s v="CUST004"/>
    <x v="1"/>
    <s v="Daniel"/>
    <n v="3"/>
    <n v="0"/>
    <s v="Paid"/>
    <n v="8"/>
    <n v="600"/>
    <n v="1800"/>
    <n v="120"/>
    <n v="1432"/>
    <x v="0"/>
  </r>
  <r>
    <s v="ORD0018"/>
    <d v="2025-09-19T00:00:00"/>
    <s v="CUST077"/>
    <x v="6"/>
    <s v="Daniel"/>
    <n v="3"/>
    <n v="0.05"/>
    <s v="Paid"/>
    <n v="15"/>
    <n v="160"/>
    <n v="456"/>
    <n v="38.4"/>
    <n v="325.8"/>
    <x v="3"/>
  </r>
  <r>
    <s v="ORD0019"/>
    <d v="2025-01-01T00:00:00"/>
    <s v="CUST074"/>
    <x v="0"/>
    <s v="Kevin"/>
    <n v="3"/>
    <n v="0"/>
    <s v="Paid"/>
    <n v="18"/>
    <n v="180"/>
    <n v="540"/>
    <n v="54"/>
    <n v="360"/>
    <x v="0"/>
  </r>
  <r>
    <s v="ORD0020"/>
    <d v="2025-06-19T00:00:00"/>
    <s v="CUST026"/>
    <x v="5"/>
    <s v="Kevin"/>
    <n v="4"/>
    <n v="0"/>
    <s v="Refunded"/>
    <n v="12"/>
    <n v="210"/>
    <n v="840"/>
    <n v="52.5"/>
    <n v="618"/>
    <x v="2"/>
  </r>
  <r>
    <s v="ORD0021"/>
    <d v="2025-06-17T00:00:00"/>
    <s v="CUST016"/>
    <x v="2"/>
    <s v="Maya"/>
    <n v="5"/>
    <n v="0.05"/>
    <s v="Paid"/>
    <n v="20"/>
    <n v="320"/>
    <n v="1520"/>
    <n v="86.4"/>
    <n v="1068"/>
    <x v="0"/>
  </r>
  <r>
    <s v="ORD0022"/>
    <d v="2025-07-14T00:00:00"/>
    <s v="CUST038"/>
    <x v="4"/>
    <s v="Grace"/>
    <n v="2"/>
    <n v="0"/>
    <s v="Paid"/>
    <n v="18"/>
    <n v="130"/>
    <n v="260"/>
    <n v="33.799999999999997"/>
    <n v="174.4"/>
    <x v="3"/>
  </r>
  <r>
    <s v="ORD0023"/>
    <d v="2025-06-05T00:00:00"/>
    <s v="CUST073"/>
    <x v="2"/>
    <s v="Bola"/>
    <n v="4"/>
    <n v="0.15"/>
    <s v="Pending"/>
    <n v="10"/>
    <n v="320"/>
    <n v="1088"/>
    <n v="86.4"/>
    <n v="732.4"/>
    <x v="0"/>
  </r>
  <r>
    <s v="ORD0024"/>
    <d v="2025-08-15T00:00:00"/>
    <s v="CUST056"/>
    <x v="7"/>
    <s v="Grace"/>
    <n v="5"/>
    <n v="0.05"/>
    <s v="Paid"/>
    <n v="18"/>
    <n v="240"/>
    <n v="1140"/>
    <n v="55.2"/>
    <n v="846"/>
    <x v="2"/>
  </r>
  <r>
    <s v="ORD0025"/>
    <d v="2025-11-21T00:00:00"/>
    <s v="CUST061"/>
    <x v="8"/>
    <s v="Kevin"/>
    <n v="1"/>
    <n v="0.05"/>
    <s v="Paid"/>
    <n v="12"/>
    <n v="90"/>
    <n v="85.5"/>
    <n v="25.2"/>
    <n v="48.3"/>
    <x v="0"/>
  </r>
  <r>
    <s v="ORD0026"/>
    <d v="2025-03-17T00:00:00"/>
    <s v="CUST012"/>
    <x v="0"/>
    <s v="Daniel"/>
    <n v="3"/>
    <n v="0"/>
    <s v="Pending"/>
    <n v="8"/>
    <n v="180"/>
    <n v="540"/>
    <n v="54"/>
    <n v="370"/>
    <x v="0"/>
  </r>
  <r>
    <s v="ORD0027"/>
    <d v="2025-11-19T00:00:00"/>
    <s v="CUST032"/>
    <x v="9"/>
    <s v="Kevin"/>
    <n v="5"/>
    <n v="0"/>
    <s v="Paid"/>
    <n v="10"/>
    <n v="70"/>
    <n v="350"/>
    <n v="22.4"/>
    <n v="228"/>
    <x v="2"/>
  </r>
  <r>
    <s v="ORD0028"/>
    <d v="2025-12-19T00:00:00"/>
    <s v="CUST050"/>
    <x v="9"/>
    <s v="Daniel"/>
    <n v="4"/>
    <n v="0"/>
    <s v="Paid"/>
    <n v="8"/>
    <n v="70"/>
    <n v="280"/>
    <n v="22.4"/>
    <n v="182.4"/>
    <x v="0"/>
  </r>
  <r>
    <s v="ORD0029"/>
    <d v="2025-10-13T00:00:00"/>
    <s v="CUST055"/>
    <x v="0"/>
    <s v="Grace"/>
    <n v="2"/>
    <n v="0.15"/>
    <s v="Paid"/>
    <n v="8"/>
    <n v="180"/>
    <n v="306"/>
    <n v="54"/>
    <n v="190"/>
    <x v="0"/>
  </r>
  <r>
    <s v="ORD0030"/>
    <d v="2025-11-01T00:00:00"/>
    <s v="CUST059"/>
    <x v="8"/>
    <s v="Bola"/>
    <n v="4"/>
    <n v="0.15"/>
    <s v="Refunded"/>
    <n v="15"/>
    <n v="90"/>
    <n v="306"/>
    <n v="25.2"/>
    <n v="190.2"/>
    <x v="2"/>
  </r>
  <r>
    <s v="ORD0031"/>
    <d v="2025-03-23T00:00:00"/>
    <s v="CUST079"/>
    <x v="4"/>
    <s v="Maya"/>
    <n v="4"/>
    <n v="0.15"/>
    <s v="Paid"/>
    <n v="15"/>
    <n v="130"/>
    <n v="442"/>
    <n v="33.799999999999997"/>
    <n v="291.8"/>
    <x v="0"/>
  </r>
  <r>
    <s v="ORD0032"/>
    <d v="2025-05-03T00:00:00"/>
    <s v="CUST034"/>
    <x v="0"/>
    <s v="Bola"/>
    <n v="3"/>
    <n v="0.15"/>
    <s v="Paid"/>
    <n v="15"/>
    <n v="180"/>
    <n v="459"/>
    <n v="54"/>
    <n v="282"/>
    <x v="1"/>
  </r>
  <r>
    <s v="ORD0033"/>
    <d v="2025-10-04T00:00:00"/>
    <s v="CUST010"/>
    <x v="2"/>
    <s v="Daniel"/>
    <n v="2"/>
    <n v="0.05"/>
    <s v="Paid"/>
    <n v="10"/>
    <n v="320"/>
    <n v="608"/>
    <n v="86.4"/>
    <n v="425.2"/>
    <x v="0"/>
  </r>
  <r>
    <s v="ORD0034"/>
    <d v="2025-02-02T00:00:00"/>
    <s v="CUST020"/>
    <x v="0"/>
    <s v="Maya"/>
    <n v="4"/>
    <n v="0"/>
    <s v="Paid"/>
    <n v="15"/>
    <n v="180"/>
    <n v="720"/>
    <n v="54"/>
    <n v="489"/>
    <x v="3"/>
  </r>
  <r>
    <s v="ORD0035"/>
    <d v="2025-08-04T00:00:00"/>
    <s v="CUST043"/>
    <x v="4"/>
    <s v="Maya"/>
    <n v="4"/>
    <n v="0.1"/>
    <s v="Paid"/>
    <n v="18"/>
    <n v="130"/>
    <n v="468"/>
    <n v="33.799999999999997"/>
    <n v="314.8"/>
    <x v="3"/>
  </r>
  <r>
    <s v="ORD0036"/>
    <d v="2025-06-30T00:00:00"/>
    <s v="CUST003"/>
    <x v="7"/>
    <s v="Bola"/>
    <n v="4"/>
    <n v="0.1"/>
    <s v="Paid"/>
    <n v="15"/>
    <n v="240"/>
    <n v="864"/>
    <n v="55.2"/>
    <n v="628.20000000000005"/>
    <x v="0"/>
  </r>
  <r>
    <s v="ORD0037"/>
    <d v="2025-09-07T00:00:00"/>
    <s v="CUST054"/>
    <x v="4"/>
    <s v="Grace"/>
    <n v="5"/>
    <n v="0.15"/>
    <s v="Pending"/>
    <n v="12"/>
    <n v="130"/>
    <n v="552.5"/>
    <n v="33.799999999999997"/>
    <n v="371.5"/>
    <x v="3"/>
  </r>
  <r>
    <s v="ORD0038"/>
    <d v="2025-12-14T00:00:00"/>
    <s v="CUST056"/>
    <x v="9"/>
    <s v="Maya"/>
    <n v="1"/>
    <n v="0.1"/>
    <s v="Paid"/>
    <n v="20"/>
    <n v="70"/>
    <n v="63"/>
    <n v="22.4"/>
    <n v="20.6"/>
    <x v="2"/>
  </r>
  <r>
    <s v="ORD0039"/>
    <d v="2025-07-21T00:00:00"/>
    <s v="CUST022"/>
    <x v="9"/>
    <s v="Kevin"/>
    <n v="2"/>
    <n v="0.15"/>
    <s v="Paid"/>
    <n v="18"/>
    <n v="70"/>
    <n v="119"/>
    <n v="22.4"/>
    <n v="56.2"/>
    <x v="3"/>
  </r>
  <r>
    <s v="ORD0040"/>
    <d v="2025-04-04T00:00:00"/>
    <s v="CUST004"/>
    <x v="1"/>
    <s v="Daniel"/>
    <n v="4"/>
    <n v="0"/>
    <s v="Pending"/>
    <n v="12"/>
    <n v="600"/>
    <n v="2400"/>
    <n v="120"/>
    <n v="1908"/>
    <x v="0"/>
  </r>
  <r>
    <s v="ORD0041"/>
    <d v="2025-07-14T00:00:00"/>
    <s v="CUST049"/>
    <x v="5"/>
    <s v="Bola"/>
    <n v="2"/>
    <n v="0.1"/>
    <s v="Paid"/>
    <n v="15"/>
    <n v="210"/>
    <n v="378"/>
    <n v="52.5"/>
    <n v="258"/>
    <x v="1"/>
  </r>
  <r>
    <s v="ORD0042"/>
    <d v="2025-01-27T00:00:00"/>
    <s v="CUST033"/>
    <x v="1"/>
    <s v="Bola"/>
    <n v="4"/>
    <n v="0"/>
    <s v="Paid"/>
    <n v="10"/>
    <n v="600"/>
    <n v="2400"/>
    <n v="120"/>
    <n v="1910"/>
    <x v="2"/>
  </r>
  <r>
    <s v="ORD0043"/>
    <d v="2025-01-11T00:00:00"/>
    <s v="CUST009"/>
    <x v="3"/>
    <s v="Kevin"/>
    <n v="1"/>
    <n v="0"/>
    <s v="Paid"/>
    <n v="10"/>
    <n v="850"/>
    <n v="850"/>
    <n v="187"/>
    <n v="653"/>
    <x v="1"/>
  </r>
  <r>
    <s v="ORD0044"/>
    <d v="2025-04-22T00:00:00"/>
    <s v="CUST031"/>
    <x v="8"/>
    <s v="Maya"/>
    <n v="4"/>
    <n v="0"/>
    <s v="Paid"/>
    <n v="20"/>
    <n v="90"/>
    <n v="360"/>
    <n v="25.2"/>
    <n v="239.2"/>
    <x v="3"/>
  </r>
  <r>
    <s v="ORD0045"/>
    <d v="2025-02-28T00:00:00"/>
    <s v="CUST033"/>
    <x v="5"/>
    <s v="Grace"/>
    <n v="2"/>
    <n v="0.15"/>
    <s v="Paid"/>
    <n v="12"/>
    <n v="210"/>
    <n v="357"/>
    <n v="52.5"/>
    <n v="240"/>
    <x v="2"/>
  </r>
  <r>
    <s v="ORD0046"/>
    <d v="2025-07-12T00:00:00"/>
    <s v="CUST014"/>
    <x v="7"/>
    <s v="Maya"/>
    <n v="1"/>
    <n v="0.05"/>
    <s v="Paid"/>
    <n v="20"/>
    <n v="240"/>
    <n v="228"/>
    <n v="55.2"/>
    <n v="152.80000000000001"/>
    <x v="3"/>
  </r>
  <r>
    <s v="ORD0047"/>
    <d v="2025-06-04T00:00:00"/>
    <s v="CUST026"/>
    <x v="1"/>
    <s v="Kevin"/>
    <n v="5"/>
    <n v="0"/>
    <s v="Paid"/>
    <n v="8"/>
    <n v="600"/>
    <n v="3000"/>
    <n v="120"/>
    <n v="2392"/>
    <x v="2"/>
  </r>
  <r>
    <s v="ORD0048"/>
    <d v="2025-07-09T00:00:00"/>
    <s v="CUST073"/>
    <x v="3"/>
    <s v="Daniel"/>
    <n v="3"/>
    <n v="0.15"/>
    <s v="Paid"/>
    <n v="18"/>
    <n v="850"/>
    <n v="2167.5"/>
    <n v="187"/>
    <n v="1588.5"/>
    <x v="0"/>
  </r>
  <r>
    <s v="ORD0049"/>
    <d v="2025-07-05T00:00:00"/>
    <s v="CUST044"/>
    <x v="3"/>
    <s v="Maya"/>
    <n v="4"/>
    <n v="0.1"/>
    <s v="Paid"/>
    <n v="20"/>
    <n v="850"/>
    <n v="3060"/>
    <n v="187"/>
    <n v="2292"/>
    <x v="0"/>
  </r>
  <r>
    <s v="ORD0050"/>
    <d v="2025-05-19T00:00:00"/>
    <s v="CUST020"/>
    <x v="6"/>
    <s v="Kevin"/>
    <n v="2"/>
    <n v="0.15"/>
    <s v="Refunded"/>
    <n v="18"/>
    <n v="160"/>
    <n v="272"/>
    <n v="38.4"/>
    <n v="177.2"/>
    <x v="3"/>
  </r>
  <r>
    <s v="ORD0051"/>
    <d v="2025-05-06T00:00:00"/>
    <s v="CUST062"/>
    <x v="9"/>
    <s v="Daniel"/>
    <n v="4"/>
    <n v="0.15"/>
    <s v="Paid"/>
    <n v="12"/>
    <n v="70"/>
    <n v="238"/>
    <n v="22.4"/>
    <n v="136.4"/>
    <x v="0"/>
  </r>
  <r>
    <s v="ORD0052"/>
    <d v="2025-07-14T00:00:00"/>
    <s v="CUST058"/>
    <x v="0"/>
    <s v="Bola"/>
    <n v="4"/>
    <n v="0.15"/>
    <s v="Paid"/>
    <n v="8"/>
    <n v="180"/>
    <n v="612"/>
    <n v="54"/>
    <n v="388"/>
    <x v="3"/>
  </r>
  <r>
    <s v="ORD0053"/>
    <d v="2025-05-13T00:00:00"/>
    <s v="CUST064"/>
    <x v="5"/>
    <s v="Bola"/>
    <n v="2"/>
    <n v="0.1"/>
    <s v="Paid"/>
    <n v="12"/>
    <n v="210"/>
    <n v="378"/>
    <n v="52.5"/>
    <n v="261"/>
    <x v="1"/>
  </r>
  <r>
    <s v="ORD0054"/>
    <d v="2025-04-08T00:00:00"/>
    <s v="CUST077"/>
    <x v="2"/>
    <s v="Daniel"/>
    <n v="5"/>
    <n v="0"/>
    <s v="Paid"/>
    <n v="10"/>
    <n v="320"/>
    <n v="1600"/>
    <n v="86.4"/>
    <n v="1158"/>
    <x v="3"/>
  </r>
  <r>
    <s v="ORD0055"/>
    <d v="2025-11-27T00:00:00"/>
    <s v="CUST053"/>
    <x v="9"/>
    <s v="Maya"/>
    <n v="5"/>
    <n v="0"/>
    <s v="Paid"/>
    <n v="15"/>
    <n v="70"/>
    <n v="350"/>
    <n v="22.4"/>
    <n v="223"/>
    <x v="0"/>
  </r>
  <r>
    <s v="ORD0056"/>
    <d v="2025-05-05T00:00:00"/>
    <s v="CUST003"/>
    <x v="1"/>
    <s v="Bola"/>
    <n v="3"/>
    <n v="0"/>
    <s v="Paid"/>
    <n v="20"/>
    <n v="600"/>
    <n v="1800"/>
    <n v="120"/>
    <n v="1420"/>
    <x v="0"/>
  </r>
  <r>
    <s v="ORD0057"/>
    <d v="2025-08-06T00:00:00"/>
    <s v="CUST075"/>
    <x v="5"/>
    <s v="Kevin"/>
    <n v="4"/>
    <n v="0.15"/>
    <s v="Paid"/>
    <n v="12"/>
    <n v="210"/>
    <n v="714"/>
    <n v="52.5"/>
    <n v="492"/>
    <x v="3"/>
  </r>
  <r>
    <s v="ORD0058"/>
    <d v="2025-03-03T00:00:00"/>
    <s v="CUST046"/>
    <x v="9"/>
    <s v="Grace"/>
    <n v="3"/>
    <n v="0.05"/>
    <s v="Paid"/>
    <n v="12"/>
    <n v="70"/>
    <n v="199.5"/>
    <n v="22.4"/>
    <n v="120.30000000000001"/>
    <x v="2"/>
  </r>
  <r>
    <s v="ORD0059"/>
    <d v="2025-09-05T00:00:00"/>
    <s v="CUST016"/>
    <x v="4"/>
    <s v="Bola"/>
    <n v="2"/>
    <n v="0"/>
    <s v="Paid"/>
    <n v="20"/>
    <n v="130"/>
    <n v="260"/>
    <n v="33.799999999999997"/>
    <n v="172.4"/>
    <x v="0"/>
  </r>
  <r>
    <s v="ORD0060"/>
    <d v="2025-04-10T00:00:00"/>
    <s v="CUST076"/>
    <x v="4"/>
    <s v="Bola"/>
    <n v="5"/>
    <n v="0.05"/>
    <s v="Refunded"/>
    <n v="10"/>
    <n v="130"/>
    <n v="617.5"/>
    <n v="33.799999999999997"/>
    <n v="438.5"/>
    <x v="3"/>
  </r>
  <r>
    <s v="ORD0061"/>
    <d v="2025-03-06T00:00:00"/>
    <s v="CUST047"/>
    <x v="8"/>
    <s v="Bola"/>
    <n v="3"/>
    <n v="0"/>
    <s v="Paid"/>
    <n v="8"/>
    <n v="90"/>
    <n v="270"/>
    <n v="25.2"/>
    <n v="186.4"/>
    <x v="2"/>
  </r>
  <r>
    <s v="ORD0062"/>
    <d v="2025-09-09T00:00:00"/>
    <s v="CUST007"/>
    <x v="4"/>
    <s v="Daniel"/>
    <n v="3"/>
    <n v="0"/>
    <s v="Paid"/>
    <n v="8"/>
    <n v="130"/>
    <n v="390"/>
    <n v="33.799999999999997"/>
    <n v="280.60000000000002"/>
    <x v="1"/>
  </r>
  <r>
    <s v="ORD0063"/>
    <d v="2025-04-05T00:00:00"/>
    <s v="CUST074"/>
    <x v="2"/>
    <s v="Daniel"/>
    <n v="4"/>
    <n v="0.1"/>
    <s v="Paid"/>
    <n v="12"/>
    <n v="320"/>
    <n v="1152"/>
    <n v="86.4"/>
    <n v="794.4"/>
    <x v="0"/>
  </r>
  <r>
    <s v="ORD0064"/>
    <d v="2025-10-23T00:00:00"/>
    <s v="CUST062"/>
    <x v="1"/>
    <s v="Daniel"/>
    <n v="1"/>
    <n v="0.1"/>
    <s v="Paid"/>
    <n v="10"/>
    <n v="600"/>
    <n v="540"/>
    <n v="120"/>
    <n v="410"/>
    <x v="0"/>
  </r>
  <r>
    <s v="ORD0065"/>
    <d v="2025-03-02T00:00:00"/>
    <s v="CUST020"/>
    <x v="7"/>
    <s v="Kevin"/>
    <n v="3"/>
    <n v="0"/>
    <s v="Refunded"/>
    <n v="15"/>
    <n v="240"/>
    <n v="720"/>
    <n v="55.2"/>
    <n v="539.4"/>
    <x v="3"/>
  </r>
  <r>
    <s v="ORD0066"/>
    <d v="2025-07-14T00:00:00"/>
    <s v="CUST078"/>
    <x v="7"/>
    <s v="Maya"/>
    <n v="5"/>
    <n v="0"/>
    <s v="Paid"/>
    <n v="15"/>
    <n v="240"/>
    <n v="1200"/>
    <n v="55.2"/>
    <n v="909"/>
    <x v="3"/>
  </r>
  <r>
    <s v="ORD0067"/>
    <d v="2025-01-31T00:00:00"/>
    <s v="CUST039"/>
    <x v="7"/>
    <s v="Kevin"/>
    <n v="4"/>
    <n v="0.05"/>
    <s v="Paid"/>
    <n v="20"/>
    <n v="240"/>
    <n v="912"/>
    <n v="55.2"/>
    <n v="671.2"/>
    <x v="1"/>
  </r>
  <r>
    <s v="ORD0068"/>
    <d v="2025-03-22T00:00:00"/>
    <s v="CUST013"/>
    <x v="0"/>
    <s v="Grace"/>
    <n v="2"/>
    <n v="0.05"/>
    <s v="Paid"/>
    <n v="10"/>
    <n v="180"/>
    <n v="342"/>
    <n v="54"/>
    <n v="224"/>
    <x v="1"/>
  </r>
  <r>
    <s v="ORD0069"/>
    <d v="2025-12-19T00:00:00"/>
    <s v="CUST071"/>
    <x v="1"/>
    <s v="Kevin"/>
    <n v="2"/>
    <n v="0"/>
    <s v="Paid"/>
    <n v="15"/>
    <n v="600"/>
    <n v="1200"/>
    <n v="120"/>
    <n v="945"/>
    <x v="2"/>
  </r>
  <r>
    <s v="ORD0070"/>
    <d v="2025-12-26T00:00:00"/>
    <s v="CUST038"/>
    <x v="3"/>
    <s v="Maya"/>
    <n v="2"/>
    <n v="0.05"/>
    <s v="Paid"/>
    <n v="8"/>
    <n v="850"/>
    <n v="1615"/>
    <n v="187"/>
    <n v="1233"/>
    <x v="3"/>
  </r>
  <r>
    <s v="ORD0071"/>
    <d v="2025-10-06T00:00:00"/>
    <s v="CUST030"/>
    <x v="2"/>
    <s v="Grace"/>
    <n v="5"/>
    <n v="0"/>
    <s v="Paid"/>
    <n v="20"/>
    <n v="320"/>
    <n v="1600"/>
    <n v="86.4"/>
    <n v="1148"/>
    <x v="2"/>
  </r>
  <r>
    <s v="ORD0072"/>
    <d v="2025-06-07T00:00:00"/>
    <s v="CUST020"/>
    <x v="2"/>
    <s v="Kevin"/>
    <n v="2"/>
    <n v="0"/>
    <s v="Paid"/>
    <n v="20"/>
    <n v="320"/>
    <n v="640"/>
    <n v="86.4"/>
    <n v="447.2"/>
    <x v="3"/>
  </r>
  <r>
    <s v="ORD0073"/>
    <d v="2025-06-05T00:00:00"/>
    <s v="CUST073"/>
    <x v="2"/>
    <s v="Maya"/>
    <n v="4"/>
    <n v="0"/>
    <s v="Paid"/>
    <n v="12"/>
    <n v="320"/>
    <n v="1280"/>
    <n v="86.4"/>
    <n v="922.4"/>
    <x v="0"/>
  </r>
  <r>
    <s v="ORD0074"/>
    <d v="2025-01-21T00:00:00"/>
    <s v="CUST065"/>
    <x v="4"/>
    <s v="Maya"/>
    <n v="4"/>
    <n v="0.1"/>
    <s v="Paid"/>
    <n v="20"/>
    <n v="130"/>
    <n v="468"/>
    <n v="33.799999999999997"/>
    <n v="312.8"/>
    <x v="2"/>
  </r>
  <r>
    <s v="ORD0075"/>
    <d v="2025-12-12T00:00:00"/>
    <s v="CUST042"/>
    <x v="7"/>
    <s v="Kevin"/>
    <n v="3"/>
    <n v="0"/>
    <s v="Paid"/>
    <n v="18"/>
    <n v="240"/>
    <n v="720"/>
    <n v="55.2"/>
    <n v="536.4"/>
    <x v="0"/>
  </r>
  <r>
    <s v="ORD0076"/>
    <d v="2025-03-31T00:00:00"/>
    <s v="CUST003"/>
    <x v="2"/>
    <s v="Maya"/>
    <n v="5"/>
    <n v="0"/>
    <s v="Paid"/>
    <n v="18"/>
    <n v="320"/>
    <n v="1600"/>
    <n v="86.4"/>
    <n v="1150"/>
    <x v="0"/>
  </r>
  <r>
    <s v="ORD0077"/>
    <d v="2025-09-09T00:00:00"/>
    <s v="CUST057"/>
    <x v="2"/>
    <s v="Daniel"/>
    <n v="2"/>
    <n v="0.15"/>
    <s v="Paid"/>
    <n v="15"/>
    <n v="320"/>
    <n v="544"/>
    <n v="86.4"/>
    <n v="356.2"/>
    <x v="2"/>
  </r>
  <r>
    <s v="ORD0078"/>
    <d v="2025-03-24T00:00:00"/>
    <s v="CUST045"/>
    <x v="6"/>
    <s v="Bola"/>
    <n v="3"/>
    <n v="0.05"/>
    <s v="Paid"/>
    <n v="15"/>
    <n v="160"/>
    <n v="456"/>
    <n v="38.4"/>
    <n v="325.8"/>
    <x v="0"/>
  </r>
  <r>
    <s v="ORD0079"/>
    <d v="2025-02-15T00:00:00"/>
    <s v="CUST064"/>
    <x v="2"/>
    <s v="Bola"/>
    <n v="4"/>
    <n v="0.15"/>
    <s v="Paid"/>
    <n v="12"/>
    <n v="320"/>
    <n v="1088"/>
    <n v="86.4"/>
    <n v="730.4"/>
    <x v="1"/>
  </r>
  <r>
    <s v="ORD0080"/>
    <d v="2025-01-01T00:00:00"/>
    <s v="CUST042"/>
    <x v="1"/>
    <s v="Kevin"/>
    <n v="4"/>
    <n v="0.15"/>
    <s v="Pending"/>
    <n v="15"/>
    <n v="600"/>
    <n v="2040"/>
    <n v="120"/>
    <n v="1545"/>
    <x v="0"/>
  </r>
  <r>
    <s v="ORD0081"/>
    <d v="2025-09-13T00:00:00"/>
    <s v="CUST053"/>
    <x v="3"/>
    <s v="Maya"/>
    <n v="2"/>
    <n v="0.15"/>
    <s v="Paid"/>
    <n v="8"/>
    <n v="850"/>
    <n v="1445"/>
    <n v="187"/>
    <n v="1063"/>
    <x v="0"/>
  </r>
  <r>
    <s v="ORD0082"/>
    <d v="2025-08-13T00:00:00"/>
    <s v="CUST027"/>
    <x v="2"/>
    <s v="Maya"/>
    <n v="5"/>
    <n v="0"/>
    <s v="Pending"/>
    <n v="8"/>
    <n v="320"/>
    <n v="1600"/>
    <n v="86.4"/>
    <n v="1160"/>
    <x v="1"/>
  </r>
  <r>
    <s v="ORD0083"/>
    <d v="2025-01-08T00:00:00"/>
    <s v="CUST004"/>
    <x v="7"/>
    <s v="Kevin"/>
    <n v="2"/>
    <n v="0"/>
    <s v="Paid"/>
    <n v="15"/>
    <n v="240"/>
    <n v="480"/>
    <n v="55.2"/>
    <n v="354.6"/>
    <x v="0"/>
  </r>
  <r>
    <s v="ORD0084"/>
    <d v="2025-11-28T00:00:00"/>
    <s v="CUST012"/>
    <x v="0"/>
    <s v="Grace"/>
    <n v="1"/>
    <n v="0.1"/>
    <s v="Refunded"/>
    <n v="15"/>
    <n v="180"/>
    <n v="162"/>
    <n v="54"/>
    <n v="93"/>
    <x v="0"/>
  </r>
  <r>
    <s v="ORD0085"/>
    <d v="2025-08-30T00:00:00"/>
    <s v="CUST038"/>
    <x v="4"/>
    <s v="Grace"/>
    <n v="3"/>
    <n v="0.1"/>
    <s v="Pending"/>
    <n v="15"/>
    <n v="130"/>
    <n v="351"/>
    <n v="33.799999999999997"/>
    <n v="234.60000000000002"/>
    <x v="3"/>
  </r>
  <r>
    <s v="ORD0086"/>
    <d v="2025-09-18T00:00:00"/>
    <s v="CUST071"/>
    <x v="8"/>
    <s v="Grace"/>
    <n v="4"/>
    <n v="0"/>
    <s v="Pending"/>
    <n v="8"/>
    <n v="90"/>
    <n v="360"/>
    <n v="25.2"/>
    <n v="251.2"/>
    <x v="2"/>
  </r>
  <r>
    <s v="ORD0087"/>
    <d v="2025-01-02T00:00:00"/>
    <s v="CUST036"/>
    <x v="6"/>
    <s v="Bola"/>
    <n v="3"/>
    <n v="0.15"/>
    <s v="Paid"/>
    <n v="20"/>
    <n v="160"/>
    <n v="408"/>
    <n v="38.4"/>
    <n v="272.8"/>
    <x v="1"/>
  </r>
  <r>
    <s v="ORD0088"/>
    <d v="2025-08-17T00:00:00"/>
    <s v="CUST039"/>
    <x v="7"/>
    <s v="Kevin"/>
    <n v="5"/>
    <n v="0.1"/>
    <s v="Pending"/>
    <n v="15"/>
    <n v="240"/>
    <n v="1080"/>
    <n v="55.2"/>
    <n v="789"/>
    <x v="1"/>
  </r>
  <r>
    <s v="ORD0089"/>
    <d v="2025-06-14T00:00:00"/>
    <s v="CUST045"/>
    <x v="5"/>
    <s v="Grace"/>
    <n v="5"/>
    <n v="0.15"/>
    <s v="Paid"/>
    <n v="20"/>
    <n v="210"/>
    <n v="892.5"/>
    <n v="52.5"/>
    <n v="610"/>
    <x v="0"/>
  </r>
  <r>
    <s v="ORD0090"/>
    <d v="2025-07-30T00:00:00"/>
    <s v="CUST031"/>
    <x v="7"/>
    <s v="Daniel"/>
    <n v="4"/>
    <n v="0"/>
    <s v="Pending"/>
    <n v="12"/>
    <n v="240"/>
    <n v="960"/>
    <n v="55.2"/>
    <n v="727.2"/>
    <x v="3"/>
  </r>
  <r>
    <s v="ORD0091"/>
    <d v="2025-01-19T00:00:00"/>
    <s v="CUST061"/>
    <x v="6"/>
    <s v="Grace"/>
    <n v="4"/>
    <n v="0"/>
    <s v="Paid"/>
    <n v="18"/>
    <n v="160"/>
    <n v="640"/>
    <n v="38.4"/>
    <n v="468.4"/>
    <x v="0"/>
  </r>
  <r>
    <s v="ORD0092"/>
    <d v="2025-08-22T00:00:00"/>
    <s v="CUST076"/>
    <x v="5"/>
    <s v="Daniel"/>
    <n v="1"/>
    <n v="0.1"/>
    <s v="Paid"/>
    <n v="20"/>
    <n v="210"/>
    <n v="189"/>
    <n v="52.5"/>
    <n v="116.5"/>
    <x v="3"/>
  </r>
  <r>
    <s v="ORD0093"/>
    <d v="2025-05-16T00:00:00"/>
    <s v="CUST019"/>
    <x v="6"/>
    <s v="Bola"/>
    <n v="2"/>
    <n v="0"/>
    <s v="Paid"/>
    <n v="18"/>
    <n v="160"/>
    <n v="320"/>
    <n v="38.4"/>
    <n v="225.2"/>
    <x v="0"/>
  </r>
  <r>
    <s v="ORD0094"/>
    <d v="2025-06-12T00:00:00"/>
    <s v="CUST051"/>
    <x v="1"/>
    <s v="Maya"/>
    <n v="3"/>
    <n v="0.15"/>
    <s v="Paid"/>
    <n v="18"/>
    <n v="600"/>
    <n v="1530"/>
    <n v="120"/>
    <n v="1152"/>
    <x v="1"/>
  </r>
  <r>
    <s v="ORD0095"/>
    <d v="2025-05-28T00:00:00"/>
    <s v="CUST005"/>
    <x v="7"/>
    <s v="Grace"/>
    <n v="1"/>
    <n v="0"/>
    <s v="Paid"/>
    <n v="20"/>
    <n v="240"/>
    <n v="240"/>
    <n v="55.2"/>
    <n v="164.8"/>
    <x v="0"/>
  </r>
  <r>
    <s v="ORD0096"/>
    <d v="2025-12-22T00:00:00"/>
    <s v="CUST012"/>
    <x v="6"/>
    <s v="Bola"/>
    <n v="1"/>
    <n v="0"/>
    <s v="Paid"/>
    <n v="8"/>
    <n v="160"/>
    <n v="160"/>
    <n v="38.4"/>
    <n v="113.6"/>
    <x v="0"/>
  </r>
  <r>
    <s v="ORD0097"/>
    <d v="2025-08-09T00:00:00"/>
    <s v="CUST006"/>
    <x v="5"/>
    <s v="Grace"/>
    <n v="1"/>
    <n v="0.05"/>
    <s v="Paid"/>
    <n v="10"/>
    <n v="210"/>
    <n v="199.5"/>
    <n v="52.5"/>
    <n v="137"/>
    <x v="2"/>
  </r>
  <r>
    <s v="ORD0098"/>
    <d v="2025-02-10T00:00:00"/>
    <s v="CUST068"/>
    <x v="6"/>
    <s v="Kevin"/>
    <n v="5"/>
    <n v="0"/>
    <s v="Paid"/>
    <n v="15"/>
    <n v="160"/>
    <n v="800"/>
    <n v="38.4"/>
    <n v="593"/>
    <x v="2"/>
  </r>
  <r>
    <s v="ORD0099"/>
    <d v="2025-08-25T00:00:00"/>
    <s v="CUST080"/>
    <x v="0"/>
    <s v="Bola"/>
    <n v="4"/>
    <n v="0.15"/>
    <s v="Paid"/>
    <n v="15"/>
    <n v="180"/>
    <n v="612"/>
    <n v="54"/>
    <n v="381"/>
    <x v="1"/>
  </r>
  <r>
    <s v="ORD0100"/>
    <d v="2025-03-22T00:00:00"/>
    <s v="CUST033"/>
    <x v="3"/>
    <s v="Daniel"/>
    <n v="4"/>
    <n v="0.05"/>
    <s v="Paid"/>
    <n v="15"/>
    <n v="850"/>
    <n v="3230"/>
    <n v="187"/>
    <n v="2467"/>
    <x v="2"/>
  </r>
  <r>
    <s v="ORD0101"/>
    <d v="2025-08-22T00:00:00"/>
    <s v="CUST045"/>
    <x v="7"/>
    <s v="Bola"/>
    <n v="3"/>
    <n v="0.1"/>
    <s v="Paid"/>
    <n v="10"/>
    <n v="240"/>
    <n v="648"/>
    <n v="55.2"/>
    <n v="472.4"/>
    <x v="0"/>
  </r>
  <r>
    <s v="ORD0102"/>
    <d v="2025-07-03T00:00:00"/>
    <s v="CUST050"/>
    <x v="9"/>
    <s v="Kevin"/>
    <n v="1"/>
    <n v="0"/>
    <s v="Paid"/>
    <n v="12"/>
    <n v="70"/>
    <n v="70"/>
    <n v="22.4"/>
    <n v="35.6"/>
    <x v="0"/>
  </r>
  <r>
    <s v="ORD0103"/>
    <d v="2025-12-18T00:00:00"/>
    <s v="CUST038"/>
    <x v="3"/>
    <s v="Daniel"/>
    <n v="4"/>
    <n v="0.05"/>
    <s v="Paid"/>
    <n v="18"/>
    <n v="850"/>
    <n v="3230"/>
    <n v="187"/>
    <n v="2464"/>
    <x v="3"/>
  </r>
  <r>
    <s v="ORD0104"/>
    <d v="2025-04-23T00:00:00"/>
    <s v="CUST064"/>
    <x v="2"/>
    <s v="Grace"/>
    <n v="2"/>
    <n v="0.15"/>
    <s v="Pending"/>
    <n v="18"/>
    <n v="320"/>
    <n v="544"/>
    <n v="86.4"/>
    <n v="353.2"/>
    <x v="1"/>
  </r>
  <r>
    <s v="ORD0105"/>
    <d v="2025-08-14T00:00:00"/>
    <s v="CUST033"/>
    <x v="8"/>
    <s v="Daniel"/>
    <n v="1"/>
    <n v="0"/>
    <s v="Paid"/>
    <n v="18"/>
    <n v="90"/>
    <n v="90"/>
    <n v="25.2"/>
    <n v="46.8"/>
    <x v="2"/>
  </r>
  <r>
    <s v="ORD0106"/>
    <d v="2025-08-01T00:00:00"/>
    <s v="CUST047"/>
    <x v="8"/>
    <s v="Grace"/>
    <n v="1"/>
    <n v="0.05"/>
    <s v="Paid"/>
    <n v="10"/>
    <n v="90"/>
    <n v="85.5"/>
    <n v="25.2"/>
    <n v="50.3"/>
    <x v="2"/>
  </r>
  <r>
    <s v="ORD0107"/>
    <d v="2025-05-20T00:00:00"/>
    <s v="CUST017"/>
    <x v="4"/>
    <s v="Grace"/>
    <n v="3"/>
    <n v="0.15"/>
    <s v="Paid"/>
    <n v="12"/>
    <n v="130"/>
    <n v="331.5"/>
    <n v="33.799999999999997"/>
    <n v="218.10000000000002"/>
    <x v="1"/>
  </r>
  <r>
    <s v="ORD0108"/>
    <d v="2025-02-08T00:00:00"/>
    <s v="CUST062"/>
    <x v="2"/>
    <s v="Grace"/>
    <n v="3"/>
    <n v="0"/>
    <s v="Paid"/>
    <n v="10"/>
    <n v="320"/>
    <n v="960"/>
    <n v="86.4"/>
    <n v="690.8"/>
    <x v="0"/>
  </r>
  <r>
    <s v="ORD0109"/>
    <d v="2025-01-08T00:00:00"/>
    <s v="CUST051"/>
    <x v="4"/>
    <s v="Bola"/>
    <n v="3"/>
    <n v="0"/>
    <s v="Pending"/>
    <n v="18"/>
    <n v="130"/>
    <n v="390"/>
    <n v="33.799999999999997"/>
    <n v="270.60000000000002"/>
    <x v="1"/>
  </r>
  <r>
    <s v="ORD0110"/>
    <d v="2025-11-23T00:00:00"/>
    <s v="CUST016"/>
    <x v="9"/>
    <s v="Bola"/>
    <n v="3"/>
    <n v="0.05"/>
    <s v="Paid"/>
    <n v="8"/>
    <n v="70"/>
    <n v="199.5"/>
    <n v="22.4"/>
    <n v="124.30000000000001"/>
    <x v="0"/>
  </r>
  <r>
    <s v="ORD0111"/>
    <d v="2025-10-15T00:00:00"/>
    <s v="CUST030"/>
    <x v="9"/>
    <s v="Bola"/>
    <n v="1"/>
    <n v="0.15"/>
    <s v="Pending"/>
    <n v="18"/>
    <n v="70"/>
    <n v="59.5"/>
    <n v="22.4"/>
    <n v="19.100000000000001"/>
    <x v="2"/>
  </r>
  <r>
    <s v="ORD0112"/>
    <d v="2025-03-01T00:00:00"/>
    <s v="CUST029"/>
    <x v="1"/>
    <s v="Grace"/>
    <n v="4"/>
    <n v="0.05"/>
    <s v="Paid"/>
    <n v="8"/>
    <n v="600"/>
    <n v="2280"/>
    <n v="120"/>
    <n v="1792"/>
    <x v="2"/>
  </r>
  <r>
    <s v="ORD0113"/>
    <d v="2025-10-03T00:00:00"/>
    <s v="CUST005"/>
    <x v="2"/>
    <s v="Grace"/>
    <n v="4"/>
    <n v="0"/>
    <s v="Paid"/>
    <n v="15"/>
    <n v="320"/>
    <n v="1280"/>
    <n v="86.4"/>
    <n v="919.4"/>
    <x v="0"/>
  </r>
  <r>
    <s v="ORD0114"/>
    <d v="2025-03-21T00:00:00"/>
    <s v="CUST059"/>
    <x v="5"/>
    <s v="Maya"/>
    <n v="5"/>
    <n v="0.1"/>
    <s v="Paid"/>
    <n v="20"/>
    <n v="210"/>
    <n v="945"/>
    <n v="52.5"/>
    <n v="662.5"/>
    <x v="2"/>
  </r>
  <r>
    <s v="ORD0115"/>
    <d v="2025-05-24T00:00:00"/>
    <s v="CUST013"/>
    <x v="9"/>
    <s v="Daniel"/>
    <n v="5"/>
    <n v="0.1"/>
    <s v="Pending"/>
    <n v="20"/>
    <n v="70"/>
    <n v="315"/>
    <n v="22.4"/>
    <n v="183"/>
    <x v="1"/>
  </r>
  <r>
    <s v="ORD0116"/>
    <d v="2025-07-05T00:00:00"/>
    <s v="CUST048"/>
    <x v="0"/>
    <s v="Daniel"/>
    <n v="4"/>
    <n v="0.1"/>
    <s v="Refunded"/>
    <n v="20"/>
    <n v="180"/>
    <n v="648"/>
    <n v="54"/>
    <n v="412"/>
    <x v="1"/>
  </r>
  <r>
    <s v="ORD0117"/>
    <d v="2025-04-08T00:00:00"/>
    <s v="CUST048"/>
    <x v="4"/>
    <s v="Daniel"/>
    <n v="3"/>
    <n v="0"/>
    <s v="Paid"/>
    <n v="15"/>
    <n v="130"/>
    <n v="390"/>
    <n v="33.799999999999997"/>
    <n v="273.60000000000002"/>
    <x v="1"/>
  </r>
  <r>
    <s v="ORD0118"/>
    <d v="2025-06-20T00:00:00"/>
    <s v="CUST012"/>
    <x v="0"/>
    <s v="Grace"/>
    <n v="5"/>
    <n v="0"/>
    <s v="Paid"/>
    <n v="10"/>
    <n v="180"/>
    <n v="900"/>
    <n v="54"/>
    <n v="620"/>
    <x v="0"/>
  </r>
  <r>
    <s v="ORD0119"/>
    <d v="2025-04-21T00:00:00"/>
    <s v="CUST073"/>
    <x v="0"/>
    <s v="Grace"/>
    <n v="1"/>
    <n v="0.15"/>
    <s v="Paid"/>
    <n v="12"/>
    <n v="180"/>
    <n v="153"/>
    <n v="54"/>
    <n v="87"/>
    <x v="0"/>
  </r>
  <r>
    <s v="ORD0120"/>
    <d v="2025-03-16T00:00:00"/>
    <s v="CUST019"/>
    <x v="7"/>
    <s v="Grace"/>
    <n v="1"/>
    <n v="0.05"/>
    <s v="Pending"/>
    <n v="18"/>
    <n v="240"/>
    <n v="228"/>
    <n v="55.2"/>
    <n v="154.80000000000001"/>
    <x v="0"/>
  </r>
  <r>
    <s v="ORD0121"/>
    <d v="2025-07-03T00:00:00"/>
    <s v="CUST033"/>
    <x v="8"/>
    <s v="Grace"/>
    <n v="1"/>
    <n v="0"/>
    <s v="Paid"/>
    <n v="18"/>
    <n v="90"/>
    <n v="90"/>
    <n v="25.2"/>
    <n v="46.8"/>
    <x v="2"/>
  </r>
  <r>
    <s v="ORD0122"/>
    <d v="2025-08-04T00:00:00"/>
    <s v="CUST042"/>
    <x v="3"/>
    <s v="Kevin"/>
    <n v="2"/>
    <n v="0.05"/>
    <s v="Paid"/>
    <n v="8"/>
    <n v="850"/>
    <n v="1615"/>
    <n v="187"/>
    <n v="1233"/>
    <x v="0"/>
  </r>
  <r>
    <s v="ORD0123"/>
    <d v="2025-02-25T00:00:00"/>
    <s v="CUST009"/>
    <x v="9"/>
    <s v="Maya"/>
    <n v="4"/>
    <n v="0.05"/>
    <s v="Paid"/>
    <n v="18"/>
    <n v="70"/>
    <n v="266"/>
    <n v="22.4"/>
    <n v="158.4"/>
    <x v="1"/>
  </r>
  <r>
    <s v="ORD0124"/>
    <d v="2025-11-26T00:00:00"/>
    <s v="CUST029"/>
    <x v="7"/>
    <s v="Daniel"/>
    <n v="1"/>
    <n v="0.15"/>
    <s v="Paid"/>
    <n v="8"/>
    <n v="240"/>
    <n v="204"/>
    <n v="55.2"/>
    <n v="140.80000000000001"/>
    <x v="2"/>
  </r>
  <r>
    <s v="ORD0125"/>
    <d v="2025-08-16T00:00:00"/>
    <s v="CUST062"/>
    <x v="6"/>
    <s v="Daniel"/>
    <n v="4"/>
    <n v="0"/>
    <s v="Paid"/>
    <n v="8"/>
    <n v="160"/>
    <n v="640"/>
    <n v="38.4"/>
    <n v="478.4"/>
    <x v="0"/>
  </r>
  <r>
    <s v="ORD0126"/>
    <d v="2025-11-16T00:00:00"/>
    <s v="CUST042"/>
    <x v="7"/>
    <s v="Kevin"/>
    <n v="2"/>
    <n v="0"/>
    <s v="Paid"/>
    <n v="18"/>
    <n v="240"/>
    <n v="480"/>
    <n v="55.2"/>
    <n v="351.6"/>
    <x v="0"/>
  </r>
  <r>
    <s v="ORD0127"/>
    <d v="2025-09-16T00:00:00"/>
    <s v="CUST042"/>
    <x v="6"/>
    <s v="Kevin"/>
    <n v="5"/>
    <n v="0.15"/>
    <s v="Paid"/>
    <n v="15"/>
    <n v="160"/>
    <n v="680"/>
    <n v="38.4"/>
    <n v="473"/>
    <x v="0"/>
  </r>
  <r>
    <s v="ORD0128"/>
    <d v="2025-04-27T00:00:00"/>
    <s v="CUST013"/>
    <x v="1"/>
    <s v="Maya"/>
    <n v="5"/>
    <n v="0"/>
    <s v="Paid"/>
    <n v="12"/>
    <n v="600"/>
    <n v="3000"/>
    <n v="120"/>
    <n v="2388"/>
    <x v="1"/>
  </r>
  <r>
    <s v="ORD0129"/>
    <d v="2025-06-10T00:00:00"/>
    <s v="CUST059"/>
    <x v="6"/>
    <s v="Bola"/>
    <n v="4"/>
    <n v="0"/>
    <s v="Paid"/>
    <n v="12"/>
    <n v="160"/>
    <n v="640"/>
    <n v="38.4"/>
    <n v="474.4"/>
    <x v="2"/>
  </r>
  <r>
    <s v="ORD0130"/>
    <d v="2025-02-17T00:00:00"/>
    <s v="CUST020"/>
    <x v="9"/>
    <s v="Maya"/>
    <n v="1"/>
    <n v="0"/>
    <s v="Pending"/>
    <n v="8"/>
    <n v="70"/>
    <n v="70"/>
    <n v="22.4"/>
    <n v="39.6"/>
    <x v="3"/>
  </r>
  <r>
    <s v="ORD0131"/>
    <d v="2025-10-15T00:00:00"/>
    <s v="CUST048"/>
    <x v="8"/>
    <s v="Kevin"/>
    <n v="5"/>
    <n v="0"/>
    <s v="Paid"/>
    <n v="12"/>
    <n v="90"/>
    <n v="450"/>
    <n v="25.2"/>
    <n v="312"/>
    <x v="1"/>
  </r>
  <r>
    <s v="ORD0132"/>
    <d v="2025-01-27T00:00:00"/>
    <s v="CUST016"/>
    <x v="6"/>
    <s v="Bola"/>
    <n v="3"/>
    <n v="0.1"/>
    <s v="Pending"/>
    <n v="18"/>
    <n v="160"/>
    <n v="432"/>
    <n v="38.4"/>
    <n v="298.8"/>
    <x v="0"/>
  </r>
  <r>
    <s v="ORD0133"/>
    <d v="2025-03-21T00:00:00"/>
    <s v="CUST040"/>
    <x v="5"/>
    <s v="Maya"/>
    <n v="1"/>
    <n v="0.15"/>
    <s v="Paid"/>
    <n v="10"/>
    <n v="210"/>
    <n v="178.5"/>
    <n v="52.5"/>
    <n v="116"/>
    <x v="3"/>
  </r>
  <r>
    <s v="ORD0134"/>
    <d v="2025-05-23T00:00:00"/>
    <s v="CUST014"/>
    <x v="5"/>
    <s v="Kevin"/>
    <n v="5"/>
    <n v="0.05"/>
    <s v="Paid"/>
    <n v="10"/>
    <n v="210"/>
    <n v="997.5"/>
    <n v="52.5"/>
    <n v="725"/>
    <x v="3"/>
  </r>
  <r>
    <s v="ORD0135"/>
    <d v="2025-10-13T00:00:00"/>
    <s v="CUST055"/>
    <x v="4"/>
    <s v="Daniel"/>
    <n v="5"/>
    <n v="0.15"/>
    <s v="Paid"/>
    <n v="18"/>
    <n v="130"/>
    <n v="552.5"/>
    <n v="33.799999999999997"/>
    <n v="365.5"/>
    <x v="0"/>
  </r>
  <r>
    <s v="ORD0136"/>
    <d v="2025-06-08T00:00:00"/>
    <s v="CUST035"/>
    <x v="3"/>
    <s v="Bola"/>
    <n v="2"/>
    <n v="0.05"/>
    <s v="Paid"/>
    <n v="12"/>
    <n v="850"/>
    <n v="1615"/>
    <n v="187"/>
    <n v="1229"/>
    <x v="0"/>
  </r>
  <r>
    <s v="ORD0137"/>
    <d v="2025-02-05T00:00:00"/>
    <s v="CUST001"/>
    <x v="8"/>
    <s v="Grace"/>
    <n v="2"/>
    <n v="0.15"/>
    <s v="Paid"/>
    <n v="20"/>
    <n v="90"/>
    <n v="153"/>
    <n v="25.2"/>
    <n v="82.6"/>
    <x v="0"/>
  </r>
  <r>
    <s v="ORD0138"/>
    <d v="2025-08-21T00:00:00"/>
    <s v="CUST004"/>
    <x v="1"/>
    <s v="Bola"/>
    <n v="5"/>
    <n v="0"/>
    <s v="Paid"/>
    <n v="10"/>
    <n v="600"/>
    <n v="3000"/>
    <n v="120"/>
    <n v="2390"/>
    <x v="0"/>
  </r>
  <r>
    <s v="ORD0139"/>
    <d v="2025-01-27T00:00:00"/>
    <s v="CUST048"/>
    <x v="2"/>
    <s v="Grace"/>
    <n v="3"/>
    <n v="0.15"/>
    <s v="Paid"/>
    <n v="10"/>
    <n v="320"/>
    <n v="816"/>
    <n v="86.4"/>
    <n v="546.79999999999995"/>
    <x v="1"/>
  </r>
  <r>
    <s v="ORD0140"/>
    <d v="2025-08-06T00:00:00"/>
    <s v="CUST080"/>
    <x v="3"/>
    <s v="Maya"/>
    <n v="1"/>
    <n v="0.05"/>
    <s v="Paid"/>
    <n v="18"/>
    <n v="850"/>
    <n v="807.5"/>
    <n v="187"/>
    <n v="602.5"/>
    <x v="1"/>
  </r>
  <r>
    <s v="ORD0141"/>
    <d v="2025-02-28T00:00:00"/>
    <s v="CUST057"/>
    <x v="6"/>
    <s v="Bola"/>
    <n v="3"/>
    <n v="0"/>
    <s v="Paid"/>
    <n v="15"/>
    <n v="160"/>
    <n v="480"/>
    <n v="38.4"/>
    <n v="349.8"/>
    <x v="2"/>
  </r>
  <r>
    <s v="ORD0142"/>
    <d v="2025-06-07T00:00:00"/>
    <s v="CUST015"/>
    <x v="2"/>
    <s v="Daniel"/>
    <n v="5"/>
    <n v="0.1"/>
    <s v="Paid"/>
    <n v="10"/>
    <n v="320"/>
    <n v="1440"/>
    <n v="86.4"/>
    <n v="998"/>
    <x v="3"/>
  </r>
  <r>
    <s v="ORD0143"/>
    <d v="2025-04-19T00:00:00"/>
    <s v="CUST051"/>
    <x v="7"/>
    <s v="Grace"/>
    <n v="1"/>
    <n v="0"/>
    <s v="Paid"/>
    <n v="12"/>
    <n v="240"/>
    <n v="240"/>
    <n v="55.2"/>
    <n v="172.8"/>
    <x v="1"/>
  </r>
  <r>
    <s v="ORD0144"/>
    <d v="2025-08-09T00:00:00"/>
    <s v="CUST038"/>
    <x v="5"/>
    <s v="Grace"/>
    <n v="1"/>
    <n v="0"/>
    <s v="Paid"/>
    <n v="10"/>
    <n v="210"/>
    <n v="210"/>
    <n v="52.5"/>
    <n v="147.5"/>
    <x v="3"/>
  </r>
  <r>
    <s v="ORD0145"/>
    <d v="2025-12-09T00:00:00"/>
    <s v="CUST049"/>
    <x v="4"/>
    <s v="Bola"/>
    <n v="2"/>
    <n v="0.15"/>
    <s v="Paid"/>
    <n v="8"/>
    <n v="130"/>
    <n v="221"/>
    <n v="33.799999999999997"/>
    <n v="145.4"/>
    <x v="1"/>
  </r>
  <r>
    <s v="ORD0146"/>
    <d v="2025-02-09T00:00:00"/>
    <s v="CUST051"/>
    <x v="3"/>
    <s v="Bola"/>
    <n v="4"/>
    <n v="0"/>
    <s v="Paid"/>
    <n v="18"/>
    <n v="850"/>
    <n v="3400"/>
    <n v="187"/>
    <n v="2634"/>
    <x v="1"/>
  </r>
  <r>
    <s v="ORD0147"/>
    <d v="2025-07-27T00:00:00"/>
    <s v="CUST055"/>
    <x v="7"/>
    <s v="Daniel"/>
    <n v="4"/>
    <n v="0.1"/>
    <s v="Paid"/>
    <n v="12"/>
    <n v="240"/>
    <n v="864"/>
    <n v="55.2"/>
    <n v="631.20000000000005"/>
    <x v="0"/>
  </r>
  <r>
    <s v="ORD0148"/>
    <d v="2025-02-24T00:00:00"/>
    <s v="CUST022"/>
    <x v="7"/>
    <s v="Grace"/>
    <n v="4"/>
    <n v="0.05"/>
    <s v="Paid"/>
    <n v="15"/>
    <n v="240"/>
    <n v="912"/>
    <n v="55.2"/>
    <n v="676.2"/>
    <x v="3"/>
  </r>
  <r>
    <s v="ORD0149"/>
    <d v="2025-06-08T00:00:00"/>
    <s v="CUST076"/>
    <x v="6"/>
    <s v="Bola"/>
    <n v="5"/>
    <n v="0"/>
    <s v="Paid"/>
    <n v="10"/>
    <n v="160"/>
    <n v="800"/>
    <n v="38.4"/>
    <n v="598"/>
    <x v="3"/>
  </r>
  <r>
    <s v="ORD0150"/>
    <d v="2025-09-29T00:00:00"/>
    <s v="CUST043"/>
    <x v="8"/>
    <s v="Kevin"/>
    <n v="1"/>
    <n v="0.15"/>
    <s v="Paid"/>
    <n v="10"/>
    <n v="90"/>
    <n v="76.5"/>
    <n v="25.2"/>
    <n v="41.3"/>
    <x v="3"/>
  </r>
  <r>
    <s v="ORD0151"/>
    <d v="2025-05-12T00:00:00"/>
    <s v="CUST045"/>
    <x v="5"/>
    <s v="Grace"/>
    <n v="2"/>
    <n v="0"/>
    <s v="Paid"/>
    <n v="10"/>
    <n v="210"/>
    <n v="420"/>
    <n v="52.5"/>
    <n v="305"/>
    <x v="0"/>
  </r>
  <r>
    <s v="ORD0152"/>
    <d v="2025-11-18T00:00:00"/>
    <s v="CUST078"/>
    <x v="8"/>
    <s v="Maya"/>
    <n v="1"/>
    <n v="0"/>
    <s v="Refunded"/>
    <n v="15"/>
    <n v="90"/>
    <n v="90"/>
    <n v="25.2"/>
    <n v="49.8"/>
    <x v="3"/>
  </r>
  <r>
    <s v="ORD0153"/>
    <d v="2025-11-16T00:00:00"/>
    <s v="CUST073"/>
    <x v="7"/>
    <s v="Bola"/>
    <n v="4"/>
    <n v="0.15"/>
    <s v="Paid"/>
    <n v="20"/>
    <n v="240"/>
    <n v="816"/>
    <n v="55.2"/>
    <n v="575.20000000000005"/>
    <x v="0"/>
  </r>
  <r>
    <s v="ORD0154"/>
    <d v="2025-11-20T00:00:00"/>
    <s v="CUST041"/>
    <x v="8"/>
    <s v="Bola"/>
    <n v="4"/>
    <n v="0"/>
    <s v="Paid"/>
    <n v="12"/>
    <n v="90"/>
    <n v="360"/>
    <n v="25.2"/>
    <n v="247.2"/>
    <x v="0"/>
  </r>
  <r>
    <s v="ORD0155"/>
    <d v="2025-08-25T00:00:00"/>
    <s v="CUST076"/>
    <x v="3"/>
    <s v="Maya"/>
    <n v="3"/>
    <n v="0.15"/>
    <s v="Paid"/>
    <n v="8"/>
    <n v="850"/>
    <n v="2167.5"/>
    <n v="187"/>
    <n v="1598.5"/>
    <x v="3"/>
  </r>
  <r>
    <s v="ORD0156"/>
    <d v="2025-02-16T00:00:00"/>
    <s v="CUST008"/>
    <x v="5"/>
    <s v="Kevin"/>
    <n v="3"/>
    <n v="0"/>
    <s v="Paid"/>
    <n v="18"/>
    <n v="210"/>
    <n v="630"/>
    <n v="52.5"/>
    <n v="454.5"/>
    <x v="1"/>
  </r>
  <r>
    <s v="ORD0157"/>
    <d v="2025-01-22T00:00:00"/>
    <s v="CUST065"/>
    <x v="6"/>
    <s v="Maya"/>
    <n v="4"/>
    <n v="0.15"/>
    <s v="Paid"/>
    <n v="18"/>
    <n v="160"/>
    <n v="544"/>
    <n v="38.4"/>
    <n v="372.4"/>
    <x v="2"/>
  </r>
  <r>
    <s v="ORD0158"/>
    <d v="2025-02-01T00:00:00"/>
    <s v="CUST025"/>
    <x v="5"/>
    <s v="Maya"/>
    <n v="5"/>
    <n v="0.1"/>
    <s v="Paid"/>
    <n v="8"/>
    <n v="210"/>
    <n v="945"/>
    <n v="52.5"/>
    <n v="674.5"/>
    <x v="1"/>
  </r>
  <r>
    <s v="ORD0159"/>
    <d v="2025-12-29T00:00:00"/>
    <s v="CUST044"/>
    <x v="1"/>
    <s v="Maya"/>
    <n v="5"/>
    <n v="0"/>
    <s v="Paid"/>
    <n v="15"/>
    <n v="600"/>
    <n v="3000"/>
    <n v="120"/>
    <n v="2385"/>
    <x v="0"/>
  </r>
  <r>
    <s v="ORD0160"/>
    <d v="2025-05-25T00:00:00"/>
    <s v="CUST068"/>
    <x v="4"/>
    <s v="Maya"/>
    <n v="5"/>
    <n v="0"/>
    <s v="Paid"/>
    <n v="15"/>
    <n v="130"/>
    <n v="650"/>
    <n v="33.799999999999997"/>
    <n v="466"/>
    <x v="2"/>
  </r>
  <r>
    <s v="ORD0161"/>
    <d v="2025-02-18T00:00:00"/>
    <s v="CUST044"/>
    <x v="7"/>
    <s v="Kevin"/>
    <n v="1"/>
    <n v="0.05"/>
    <s v="Paid"/>
    <n v="20"/>
    <n v="240"/>
    <n v="228"/>
    <n v="55.2"/>
    <n v="152.80000000000001"/>
    <x v="0"/>
  </r>
  <r>
    <s v="ORD0162"/>
    <d v="2025-06-20T00:00:00"/>
    <s v="CUST050"/>
    <x v="2"/>
    <s v="Daniel"/>
    <n v="3"/>
    <n v="0.15"/>
    <s v="Pending"/>
    <n v="18"/>
    <n v="320"/>
    <n v="816"/>
    <n v="86.4"/>
    <n v="538.79999999999995"/>
    <x v="0"/>
  </r>
  <r>
    <s v="ORD0163"/>
    <d v="2025-12-29T00:00:00"/>
    <s v="CUST019"/>
    <x v="5"/>
    <s v="Daniel"/>
    <n v="3"/>
    <n v="0.1"/>
    <s v="Paid"/>
    <n v="12"/>
    <n v="210"/>
    <n v="567"/>
    <n v="52.5"/>
    <n v="397.5"/>
    <x v="0"/>
  </r>
  <r>
    <s v="ORD0164"/>
    <d v="2025-12-17T00:00:00"/>
    <s v="CUST072"/>
    <x v="6"/>
    <s v="Kevin"/>
    <n v="3"/>
    <n v="0"/>
    <s v="Paid"/>
    <n v="8"/>
    <n v="160"/>
    <n v="480"/>
    <n v="38.4"/>
    <n v="356.8"/>
    <x v="3"/>
  </r>
  <r>
    <s v="ORD0165"/>
    <d v="2025-04-03T00:00:00"/>
    <s v="CUST055"/>
    <x v="4"/>
    <s v="Grace"/>
    <n v="3"/>
    <n v="0"/>
    <s v="Paid"/>
    <n v="12"/>
    <n v="130"/>
    <n v="390"/>
    <n v="33.799999999999997"/>
    <n v="276.60000000000002"/>
    <x v="0"/>
  </r>
  <r>
    <s v="ORD0166"/>
    <d v="2025-06-01T00:00:00"/>
    <s v="CUST063"/>
    <x v="0"/>
    <s v="Daniel"/>
    <n v="2"/>
    <n v="0"/>
    <s v="Paid"/>
    <n v="18"/>
    <n v="180"/>
    <n v="360"/>
    <n v="54"/>
    <n v="234"/>
    <x v="2"/>
  </r>
  <r>
    <s v="ORD0167"/>
    <d v="2025-11-13T00:00:00"/>
    <s v="CUST070"/>
    <x v="4"/>
    <s v="Grace"/>
    <n v="1"/>
    <n v="0.05"/>
    <s v="Pending"/>
    <n v="18"/>
    <n v="130"/>
    <n v="123.5"/>
    <n v="33.799999999999997"/>
    <n v="71.7"/>
    <x v="1"/>
  </r>
  <r>
    <s v="ORD0168"/>
    <d v="2025-11-16T00:00:00"/>
    <s v="CUST049"/>
    <x v="8"/>
    <s v="Grace"/>
    <n v="2"/>
    <n v="0"/>
    <s v="Pending"/>
    <n v="20"/>
    <n v="90"/>
    <n v="180"/>
    <n v="25.2"/>
    <n v="109.6"/>
    <x v="1"/>
  </r>
  <r>
    <s v="ORD0169"/>
    <d v="2025-05-02T00:00:00"/>
    <s v="CUST057"/>
    <x v="3"/>
    <s v="Maya"/>
    <n v="4"/>
    <n v="0.05"/>
    <s v="Paid"/>
    <n v="18"/>
    <n v="850"/>
    <n v="3230"/>
    <n v="187"/>
    <n v="2464"/>
    <x v="2"/>
  </r>
  <r>
    <s v="ORD0170"/>
    <d v="2025-08-29T00:00:00"/>
    <s v="CUST037"/>
    <x v="9"/>
    <s v="Grace"/>
    <n v="2"/>
    <n v="0.15"/>
    <s v="Paid"/>
    <n v="12"/>
    <n v="70"/>
    <n v="119"/>
    <n v="22.4"/>
    <n v="62.2"/>
    <x v="3"/>
  </r>
  <r>
    <s v="ORD0171"/>
    <d v="2025-09-15T00:00:00"/>
    <s v="CUST074"/>
    <x v="9"/>
    <s v="Kevin"/>
    <n v="4"/>
    <n v="0.05"/>
    <s v="Paid"/>
    <n v="15"/>
    <n v="70"/>
    <n v="266"/>
    <n v="22.4"/>
    <n v="161.4"/>
    <x v="0"/>
  </r>
  <r>
    <s v="ORD0172"/>
    <d v="2025-01-27T00:00:00"/>
    <s v="CUST021"/>
    <x v="0"/>
    <s v="Maya"/>
    <n v="5"/>
    <n v="0"/>
    <s v="Pending"/>
    <n v="12"/>
    <n v="180"/>
    <n v="900"/>
    <n v="54"/>
    <n v="618"/>
    <x v="1"/>
  </r>
  <r>
    <s v="ORD0173"/>
    <d v="2025-03-24T00:00:00"/>
    <s v="CUST071"/>
    <x v="1"/>
    <s v="Bola"/>
    <n v="5"/>
    <n v="0"/>
    <s v="Paid"/>
    <n v="15"/>
    <n v="600"/>
    <n v="3000"/>
    <n v="120"/>
    <n v="2385"/>
    <x v="2"/>
  </r>
  <r>
    <s v="ORD0174"/>
    <d v="2025-04-24T00:00:00"/>
    <s v="CUST066"/>
    <x v="8"/>
    <s v="Maya"/>
    <n v="4"/>
    <n v="0"/>
    <s v="Refunded"/>
    <n v="12"/>
    <n v="90"/>
    <n v="360"/>
    <n v="25.2"/>
    <n v="247.2"/>
    <x v="0"/>
  </r>
  <r>
    <s v="ORD0175"/>
    <d v="2025-05-01T00:00:00"/>
    <s v="CUST004"/>
    <x v="6"/>
    <s v="Maya"/>
    <n v="1"/>
    <n v="0.1"/>
    <s v="Paid"/>
    <n v="8"/>
    <n v="160"/>
    <n v="144"/>
    <n v="38.4"/>
    <n v="97.6"/>
    <x v="0"/>
  </r>
  <r>
    <s v="ORD0176"/>
    <d v="2025-11-29T00:00:00"/>
    <s v="CUST048"/>
    <x v="0"/>
    <s v="Bola"/>
    <n v="1"/>
    <n v="0.05"/>
    <s v="Pending"/>
    <n v="10"/>
    <n v="180"/>
    <n v="171"/>
    <n v="54"/>
    <n v="107"/>
    <x v="1"/>
  </r>
  <r>
    <s v="ORD0177"/>
    <d v="2025-03-13T00:00:00"/>
    <s v="CUST018"/>
    <x v="3"/>
    <s v="Maya"/>
    <n v="3"/>
    <n v="0.1"/>
    <s v="Paid"/>
    <n v="15"/>
    <n v="850"/>
    <n v="2295"/>
    <n v="187"/>
    <n v="1719"/>
    <x v="3"/>
  </r>
  <r>
    <s v="ORD0178"/>
    <d v="2025-03-18T00:00:00"/>
    <s v="CUST079"/>
    <x v="3"/>
    <s v="Kevin"/>
    <n v="1"/>
    <n v="0"/>
    <s v="Paid"/>
    <n v="20"/>
    <n v="850"/>
    <n v="850"/>
    <n v="187"/>
    <n v="643"/>
    <x v="0"/>
  </r>
  <r>
    <s v="ORD0179"/>
    <d v="2025-05-02T00:00:00"/>
    <s v="CUST078"/>
    <x v="4"/>
    <s v="Bola"/>
    <n v="4"/>
    <n v="0"/>
    <s v="Paid"/>
    <n v="8"/>
    <n v="130"/>
    <n v="520"/>
    <n v="33.799999999999997"/>
    <n v="376.8"/>
    <x v="3"/>
  </r>
  <r>
    <s v="ORD0180"/>
    <d v="2025-02-26T00:00:00"/>
    <s v="CUST007"/>
    <x v="0"/>
    <s v="Maya"/>
    <n v="4"/>
    <n v="0.15"/>
    <s v="Paid"/>
    <n v="18"/>
    <n v="180"/>
    <n v="612"/>
    <n v="54"/>
    <n v="378"/>
    <x v="1"/>
  </r>
  <r>
    <s v="ORD0181"/>
    <d v="2025-03-15T00:00:00"/>
    <s v="CUST069"/>
    <x v="3"/>
    <s v="Bola"/>
    <n v="5"/>
    <n v="0.15"/>
    <s v="Paid"/>
    <n v="15"/>
    <n v="850"/>
    <n v="3612.5"/>
    <n v="187"/>
    <n v="2662.5"/>
    <x v="0"/>
  </r>
  <r>
    <s v="ORD0182"/>
    <d v="2025-04-06T00:00:00"/>
    <s v="CUST001"/>
    <x v="7"/>
    <s v="Daniel"/>
    <n v="3"/>
    <n v="0"/>
    <s v="Paid"/>
    <n v="18"/>
    <n v="240"/>
    <n v="720"/>
    <n v="55.2"/>
    <n v="536.4"/>
    <x v="0"/>
  </r>
  <r>
    <s v="ORD0183"/>
    <d v="2025-09-17T00:00:00"/>
    <s v="CUST047"/>
    <x v="1"/>
    <s v="Kevin"/>
    <n v="5"/>
    <n v="0.15"/>
    <s v="Paid"/>
    <n v="8"/>
    <n v="600"/>
    <n v="2550"/>
    <n v="120"/>
    <n v="1942"/>
    <x v="2"/>
  </r>
  <r>
    <s v="ORD0184"/>
    <d v="2025-05-10T00:00:00"/>
    <s v="CUST050"/>
    <x v="9"/>
    <s v="Daniel"/>
    <n v="1"/>
    <n v="0.1"/>
    <s v="Refunded"/>
    <n v="12"/>
    <n v="70"/>
    <n v="63"/>
    <n v="22.4"/>
    <n v="28.6"/>
    <x v="0"/>
  </r>
  <r>
    <s v="ORD0185"/>
    <d v="2025-06-20T00:00:00"/>
    <s v="CUST009"/>
    <x v="5"/>
    <s v="Grace"/>
    <n v="2"/>
    <n v="0"/>
    <s v="Paid"/>
    <n v="8"/>
    <n v="210"/>
    <n v="420"/>
    <n v="52.5"/>
    <n v="307"/>
    <x v="1"/>
  </r>
  <r>
    <s v="ORD0186"/>
    <d v="2025-12-17T00:00:00"/>
    <s v="CUST046"/>
    <x v="4"/>
    <s v="Maya"/>
    <n v="3"/>
    <n v="0"/>
    <s v="Pending"/>
    <n v="20"/>
    <n v="130"/>
    <n v="390"/>
    <n v="33.799999999999997"/>
    <n v="268.60000000000002"/>
    <x v="2"/>
  </r>
  <r>
    <s v="ORD0187"/>
    <d v="2025-08-23T00:00:00"/>
    <s v="CUST062"/>
    <x v="8"/>
    <s v="Daniel"/>
    <n v="2"/>
    <n v="0"/>
    <s v="Paid"/>
    <n v="12"/>
    <n v="90"/>
    <n v="180"/>
    <n v="25.2"/>
    <n v="117.6"/>
    <x v="0"/>
  </r>
  <r>
    <s v="ORD0188"/>
    <d v="2025-06-08T00:00:00"/>
    <s v="CUST026"/>
    <x v="3"/>
    <s v="Kevin"/>
    <n v="2"/>
    <n v="0"/>
    <s v="Paid"/>
    <n v="15"/>
    <n v="850"/>
    <n v="1700"/>
    <n v="187"/>
    <n v="1311"/>
    <x v="2"/>
  </r>
  <r>
    <s v="ORD0189"/>
    <d v="2025-04-08T00:00:00"/>
    <s v="CUST070"/>
    <x v="9"/>
    <s v="Bola"/>
    <n v="3"/>
    <n v="0"/>
    <s v="Paid"/>
    <n v="12"/>
    <n v="70"/>
    <n v="210"/>
    <n v="22.4"/>
    <n v="130.80000000000001"/>
    <x v="1"/>
  </r>
  <r>
    <s v="ORD0190"/>
    <d v="2025-08-12T00:00:00"/>
    <s v="CUST007"/>
    <x v="5"/>
    <s v="Maya"/>
    <n v="3"/>
    <n v="0"/>
    <s v="Pending"/>
    <n v="20"/>
    <n v="210"/>
    <n v="630"/>
    <n v="52.5"/>
    <n v="452.5"/>
    <x v="1"/>
  </r>
  <r>
    <s v="ORD0191"/>
    <d v="2025-09-12T00:00:00"/>
    <s v="CUST057"/>
    <x v="6"/>
    <s v="Bola"/>
    <n v="3"/>
    <n v="0"/>
    <s v="Paid"/>
    <n v="18"/>
    <n v="160"/>
    <n v="480"/>
    <n v="38.4"/>
    <n v="346.8"/>
    <x v="2"/>
  </r>
  <r>
    <s v="ORD0192"/>
    <d v="2025-04-03T00:00:00"/>
    <s v="CUST035"/>
    <x v="1"/>
    <s v="Kevin"/>
    <n v="4"/>
    <n v="0"/>
    <s v="Paid"/>
    <n v="12"/>
    <n v="600"/>
    <n v="2400"/>
    <n v="120"/>
    <n v="1908"/>
    <x v="0"/>
  </r>
  <r>
    <s v="ORD0193"/>
    <d v="2025-06-06T00:00:00"/>
    <s v="CUST042"/>
    <x v="1"/>
    <s v="Maya"/>
    <n v="1"/>
    <n v="0.05"/>
    <s v="Paid"/>
    <n v="18"/>
    <n v="600"/>
    <n v="570"/>
    <n v="120"/>
    <n v="432"/>
    <x v="0"/>
  </r>
  <r>
    <s v="ORD0194"/>
    <d v="2025-06-30T00:00:00"/>
    <s v="CUST055"/>
    <x v="8"/>
    <s v="Kevin"/>
    <n v="4"/>
    <n v="0.05"/>
    <s v="Paid"/>
    <n v="15"/>
    <n v="90"/>
    <n v="342"/>
    <n v="25.2"/>
    <n v="226.2"/>
    <x v="0"/>
  </r>
  <r>
    <s v="ORD0195"/>
    <d v="2025-12-14T00:00:00"/>
    <s v="CUST036"/>
    <x v="3"/>
    <s v="Grace"/>
    <n v="1"/>
    <n v="0.1"/>
    <s v="Paid"/>
    <n v="8"/>
    <n v="850"/>
    <n v="765"/>
    <n v="187"/>
    <n v="570"/>
    <x v="1"/>
  </r>
  <r>
    <s v="ORD0196"/>
    <d v="2025-05-01T00:00:00"/>
    <s v="CUST019"/>
    <x v="7"/>
    <s v="Bola"/>
    <n v="4"/>
    <n v="0"/>
    <s v="Paid"/>
    <n v="12"/>
    <n v="240"/>
    <n v="960"/>
    <n v="55.2"/>
    <n v="727.2"/>
    <x v="0"/>
  </r>
  <r>
    <s v="ORD0197"/>
    <d v="2025-08-19T00:00:00"/>
    <s v="CUST050"/>
    <x v="7"/>
    <s v="Bola"/>
    <n v="1"/>
    <n v="0.15"/>
    <s v="Paid"/>
    <n v="12"/>
    <n v="240"/>
    <n v="204"/>
    <n v="55.2"/>
    <n v="136.80000000000001"/>
    <x v="0"/>
  </r>
  <r>
    <s v="ORD0198"/>
    <d v="2025-07-23T00:00:00"/>
    <s v="CUST057"/>
    <x v="1"/>
    <s v="Bola"/>
    <n v="5"/>
    <n v="0"/>
    <s v="Paid"/>
    <n v="20"/>
    <n v="600"/>
    <n v="3000"/>
    <n v="120"/>
    <n v="2380"/>
    <x v="2"/>
  </r>
  <r>
    <s v="ORD0199"/>
    <d v="2025-09-13T00:00:00"/>
    <s v="CUST036"/>
    <x v="0"/>
    <s v="Kevin"/>
    <n v="1"/>
    <n v="0"/>
    <s v="Paid"/>
    <n v="15"/>
    <n v="180"/>
    <n v="180"/>
    <n v="54"/>
    <n v="111"/>
    <x v="1"/>
  </r>
  <r>
    <s v="ORD0200"/>
    <d v="2025-04-20T00:00:00"/>
    <s v="CUST072"/>
    <x v="1"/>
    <s v="Kevin"/>
    <n v="3"/>
    <n v="0.05"/>
    <s v="Paid"/>
    <n v="12"/>
    <n v="600"/>
    <n v="1710"/>
    <n v="120"/>
    <n v="1338"/>
    <x v="3"/>
  </r>
  <r>
    <s v="ORD0201"/>
    <d v="2025-08-20T00:00:00"/>
    <s v="CUST063"/>
    <x v="0"/>
    <s v="Grace"/>
    <n v="1"/>
    <n v="0"/>
    <s v="Pending"/>
    <n v="20"/>
    <n v="180"/>
    <n v="180"/>
    <n v="54"/>
    <n v="106"/>
    <x v="2"/>
  </r>
  <r>
    <s v="ORD0202"/>
    <d v="2025-10-09T00:00:00"/>
    <s v="CUST057"/>
    <x v="1"/>
    <s v="Kevin"/>
    <n v="3"/>
    <n v="0.05"/>
    <s v="Paid"/>
    <n v="12"/>
    <n v="600"/>
    <n v="1710"/>
    <n v="120"/>
    <n v="1338"/>
    <x v="2"/>
  </r>
  <r>
    <s v="ORD0203"/>
    <d v="2025-03-04T00:00:00"/>
    <s v="CUST039"/>
    <x v="8"/>
    <s v="Grace"/>
    <n v="2"/>
    <n v="0.05"/>
    <s v="Paid"/>
    <n v="10"/>
    <n v="90"/>
    <n v="171"/>
    <n v="25.2"/>
    <n v="110.6"/>
    <x v="1"/>
  </r>
  <r>
    <s v="ORD0204"/>
    <d v="2025-07-08T00:00:00"/>
    <s v="CUST031"/>
    <x v="9"/>
    <s v="Maya"/>
    <n v="1"/>
    <n v="0.05"/>
    <s v="Paid"/>
    <n v="18"/>
    <n v="70"/>
    <n v="66.5"/>
    <n v="22.4"/>
    <n v="26.1"/>
    <x v="3"/>
  </r>
  <r>
    <s v="ORD0205"/>
    <d v="2025-09-03T00:00:00"/>
    <s v="CUST017"/>
    <x v="7"/>
    <s v="Kevin"/>
    <n v="1"/>
    <n v="0"/>
    <s v="Paid "/>
    <n v="15"/>
    <n v="240"/>
    <n v="240"/>
    <n v="55.2"/>
    <n v="169.8"/>
    <x v="1"/>
  </r>
  <r>
    <s v="ORD0206"/>
    <d v="2025-11-25T00:00:00"/>
    <s v="CUST053"/>
    <x v="7"/>
    <s v="Daniel"/>
    <n v="1"/>
    <n v="0"/>
    <s v="Refunded"/>
    <n v="15"/>
    <n v="240"/>
    <n v="240"/>
    <n v="55.2"/>
    <n v="169.8"/>
    <x v="0"/>
  </r>
  <r>
    <s v="ORD0207"/>
    <d v="2025-10-10T00:00:00"/>
    <s v="CUST060"/>
    <x v="4"/>
    <s v="Kevin"/>
    <n v="3"/>
    <n v="0"/>
    <s v="Pending"/>
    <n v="10"/>
    <n v="130"/>
    <n v="390"/>
    <n v="33.799999999999997"/>
    <n v="278.60000000000002"/>
    <x v="2"/>
  </r>
  <r>
    <s v="ORD0208"/>
    <d v="2025-09-23T00:00:00"/>
    <s v="CUST017"/>
    <x v="6"/>
    <s v="Grace"/>
    <n v="5"/>
    <n v="0"/>
    <s v="Pending"/>
    <n v="12"/>
    <n v="160"/>
    <n v="800"/>
    <n v="38.4"/>
    <n v="596"/>
    <x v="1"/>
  </r>
  <r>
    <s v="ORD0209"/>
    <d v="2025-09-23T00:00:00"/>
    <s v="CUST022"/>
    <x v="8"/>
    <s v="Bola"/>
    <n v="3"/>
    <n v="0"/>
    <s v="Paid"/>
    <n v="8"/>
    <n v="90"/>
    <n v="270"/>
    <n v="25.2"/>
    <n v="186.4"/>
    <x v="3"/>
  </r>
  <r>
    <s v="ORD0210"/>
    <d v="2025-06-05T00:00:00"/>
    <s v="CUST033"/>
    <x v="0"/>
    <s v="Kevin"/>
    <n v="5"/>
    <n v="0.05"/>
    <s v="Paid"/>
    <n v="18"/>
    <n v="180"/>
    <n v="855"/>
    <n v="54"/>
    <n v="567"/>
    <x v="2"/>
  </r>
  <r>
    <s v="ORD0211"/>
    <d v="2025-03-20T00:00:00"/>
    <s v="CUST012"/>
    <x v="4"/>
    <s v="Grace"/>
    <n v="2"/>
    <n v="0.15"/>
    <s v="Refunded"/>
    <n v="20"/>
    <n v="130"/>
    <n v="221"/>
    <n v="33.799999999999997"/>
    <n v="133.4"/>
    <x v="0"/>
  </r>
  <r>
    <s v="ORD0212"/>
    <d v="2025-01-15T00:00:00"/>
    <s v="CUST080"/>
    <x v="7"/>
    <s v="Daniel"/>
    <n v="3"/>
    <n v="0.15"/>
    <s v="Paid"/>
    <n v="8"/>
    <n v="240"/>
    <n v="612"/>
    <n v="55.2"/>
    <n v="438.4"/>
    <x v="1"/>
  </r>
  <r>
    <s v="ORD0213"/>
    <d v="2025-11-24T00:00:00"/>
    <s v="CUST074"/>
    <x v="2"/>
    <s v="Daniel"/>
    <n v="2"/>
    <n v="0.15"/>
    <s v="Paid"/>
    <n v="15"/>
    <n v="320"/>
    <n v="544"/>
    <n v="86.4"/>
    <n v="356.2"/>
    <x v="0"/>
  </r>
  <r>
    <s v="ORD0214"/>
    <d v="2025-12-17T00:00:00"/>
    <s v="CUST070"/>
    <x v="2"/>
    <s v="Maya"/>
    <n v="3"/>
    <n v="0.1"/>
    <s v="Paid"/>
    <n v="12"/>
    <n v="320"/>
    <n v="864"/>
    <n v="86.4"/>
    <n v="592.79999999999995"/>
    <x v="1"/>
  </r>
  <r>
    <s v="ORD0215"/>
    <d v="2025-09-05T00:00:00"/>
    <s v="CUST059"/>
    <x v="1"/>
    <s v="Maya"/>
    <n v="1"/>
    <n v="0"/>
    <s v="Paid"/>
    <n v="10"/>
    <n v="600"/>
    <n v="600"/>
    <n v="120"/>
    <n v="470"/>
    <x v="2"/>
  </r>
  <r>
    <s v="ORD0216"/>
    <d v="2025-06-13T00:00:00"/>
    <s v="CUST044"/>
    <x v="7"/>
    <s v="Bola"/>
    <n v="2"/>
    <n v="0.05"/>
    <s v="Pending"/>
    <n v="15"/>
    <n v="240"/>
    <n v="456"/>
    <n v="55.2"/>
    <n v="330.6"/>
    <x v="0"/>
  </r>
  <r>
    <s v="ORD0217"/>
    <d v="2025-05-04T00:00:00"/>
    <s v="CUST017"/>
    <x v="5"/>
    <s v="Maya"/>
    <n v="5"/>
    <n v="0.15"/>
    <s v="Paid"/>
    <n v="8"/>
    <n v="210"/>
    <n v="892.5"/>
    <n v="52.5"/>
    <n v="622"/>
    <x v="1"/>
  </r>
  <r>
    <s v="ORD0218"/>
    <d v="2025-05-29T00:00:00"/>
    <s v="CUST035"/>
    <x v="9"/>
    <s v="Maya"/>
    <n v="2"/>
    <n v="0"/>
    <s v="Paid"/>
    <n v="18"/>
    <n v="70"/>
    <n v="140"/>
    <n v="22.4"/>
    <n v="77.2"/>
    <x v="0"/>
  </r>
  <r>
    <s v="ORD0219"/>
    <d v="2025-06-10T00:00:00"/>
    <s v="CUST054"/>
    <x v="0"/>
    <s v="Grace"/>
    <n v="2"/>
    <n v="0.05"/>
    <s v="Pending"/>
    <n v="10"/>
    <n v="180"/>
    <n v="342"/>
    <n v="54"/>
    <n v="224"/>
    <x v="3"/>
  </r>
  <r>
    <s v="ORD0220"/>
    <d v="2025-09-12T00:00:00"/>
    <s v="CUST064"/>
    <x v="4"/>
    <s v="Daniel"/>
    <n v="4"/>
    <n v="0.1"/>
    <s v="Pending"/>
    <n v="8"/>
    <n v="130"/>
    <n v="468"/>
    <n v="33.799999999999997"/>
    <n v="324.8"/>
    <x v="1"/>
  </r>
  <r>
    <s v="ORD0221"/>
    <d v="2025-06-30T00:00:00"/>
    <s v="CUST051"/>
    <x v="4"/>
    <s v="Daniel"/>
    <n v="4"/>
    <n v="0"/>
    <s v="Paid"/>
    <n v="8"/>
    <n v="130"/>
    <n v="520"/>
    <n v="33.799999999999997"/>
    <n v="376.8"/>
    <x v="1"/>
  </r>
  <r>
    <s v="ORD0222"/>
    <d v="2025-01-05T00:00:00"/>
    <s v="CUST037"/>
    <x v="9"/>
    <s v="Daniel"/>
    <n v="5"/>
    <n v="0.1"/>
    <s v="Paid"/>
    <n v="15"/>
    <n v="70"/>
    <n v="315"/>
    <n v="22.4"/>
    <n v="188"/>
    <x v="3"/>
  </r>
  <r>
    <s v="ORD0223"/>
    <d v="2025-07-25T00:00:00"/>
    <s v="CUST018"/>
    <x v="2"/>
    <s v="Daniel"/>
    <n v="3"/>
    <n v="0.1"/>
    <s v="Paid"/>
    <n v="18"/>
    <n v="320"/>
    <n v="864"/>
    <n v="86.4"/>
    <n v="586.79999999999995"/>
    <x v="3"/>
  </r>
  <r>
    <s v="ORD0224"/>
    <d v="2025-07-17T00:00:00"/>
    <s v="CUST072"/>
    <x v="0"/>
    <s v="Kevin"/>
    <n v="3"/>
    <n v="0.15"/>
    <s v="Paid"/>
    <n v="15"/>
    <n v="180"/>
    <n v="459"/>
    <n v="54"/>
    <n v="282"/>
    <x v="3"/>
  </r>
  <r>
    <s v="ORD0225"/>
    <d v="2025-02-19T00:00:00"/>
    <s v="CUST071"/>
    <x v="2"/>
    <s v="Maya"/>
    <n v="5"/>
    <n v="0.15"/>
    <s v="Paid"/>
    <n v="12"/>
    <n v="320"/>
    <n v="1360"/>
    <n v="86.4"/>
    <n v="916"/>
    <x v="2"/>
  </r>
  <r>
    <s v="ORD0226"/>
    <d v="2025-09-18T00:00:00"/>
    <s v="CUST044"/>
    <x v="4"/>
    <s v="Maya"/>
    <n v="3"/>
    <n v="0"/>
    <s v="Paid"/>
    <n v="18"/>
    <n v="130"/>
    <n v="390"/>
    <n v="33.799999999999997"/>
    <n v="270.60000000000002"/>
    <x v="0"/>
  </r>
  <r>
    <s v="ORD0227"/>
    <d v="2025-08-31T00:00:00"/>
    <s v="CUST006"/>
    <x v="3"/>
    <s v="Kevin"/>
    <n v="1"/>
    <n v="0"/>
    <s v="Paid"/>
    <n v="15"/>
    <n v="850"/>
    <n v="850"/>
    <n v="187"/>
    <n v="648"/>
    <x v="2"/>
  </r>
  <r>
    <s v="ORD0228"/>
    <d v="2025-11-10T00:00:00"/>
    <s v="CUST020"/>
    <x v="7"/>
    <s v="Bola"/>
    <n v="5"/>
    <n v="0"/>
    <s v="Paid"/>
    <n v="10"/>
    <n v="240"/>
    <n v="1200"/>
    <n v="55.2"/>
    <n v="914"/>
    <x v="3"/>
  </r>
  <r>
    <s v="ORD0229"/>
    <d v="2025-09-18T00:00:00"/>
    <s v="CUST051"/>
    <x v="7"/>
    <s v="Kevin"/>
    <n v="3"/>
    <n v="0.15"/>
    <s v="Paid"/>
    <n v="15"/>
    <n v="240"/>
    <n v="612"/>
    <n v="55.2"/>
    <n v="431.4"/>
    <x v="1"/>
  </r>
  <r>
    <s v="ORD0230"/>
    <d v="2025-12-11T00:00:00"/>
    <s v="CUST073"/>
    <x v="2"/>
    <s v="Daniel"/>
    <n v="4"/>
    <n v="0"/>
    <s v="Paid"/>
    <n v="15"/>
    <n v="320"/>
    <n v="1280"/>
    <n v="86.4"/>
    <n v="919.4"/>
    <x v="0"/>
  </r>
  <r>
    <s v="ORD0231"/>
    <d v="2025-12-02T00:00:00"/>
    <s v="CUST075"/>
    <x v="2"/>
    <s v="Kevin"/>
    <n v="1"/>
    <n v="0.15"/>
    <s v="Paid"/>
    <n v="18"/>
    <n v="320"/>
    <n v="272"/>
    <n v="86.4"/>
    <n v="167.6"/>
    <x v="3"/>
  </r>
  <r>
    <s v="ORD0232"/>
    <d v="2025-11-19T00:00:00"/>
    <s v="CUST030"/>
    <x v="3"/>
    <s v="Kevin"/>
    <n v="5"/>
    <n v="0.1"/>
    <s v="Paid"/>
    <n v="15"/>
    <n v="850"/>
    <n v="3825"/>
    <n v="187"/>
    <n v="2875"/>
    <x v="2"/>
  </r>
  <r>
    <s v="ORD0233"/>
    <d v="2025-02-26T00:00:00"/>
    <s v="CUST019"/>
    <x v="0"/>
    <s v="Grace"/>
    <n v="1"/>
    <n v="0.15"/>
    <s v="Refunded"/>
    <n v="8"/>
    <n v="180"/>
    <n v="153"/>
    <n v="54"/>
    <n v="91"/>
    <x v="0"/>
  </r>
  <r>
    <s v="ORD0234"/>
    <d v="2025-04-15T00:00:00"/>
    <s v="CUST057"/>
    <x v="5"/>
    <s v="Maya"/>
    <n v="4"/>
    <n v="0"/>
    <s v="Paid"/>
    <n v="18"/>
    <n v="210"/>
    <n v="840"/>
    <n v="52.5"/>
    <n v="612"/>
    <x v="2"/>
  </r>
  <r>
    <s v="ORD0235"/>
    <d v="2025-10-15T00:00:00"/>
    <s v="CUST079"/>
    <x v="9"/>
    <s v="Bola"/>
    <n v="1"/>
    <n v="0"/>
    <s v="Paid"/>
    <n v="20"/>
    <n v="70"/>
    <n v="70"/>
    <n v="22.4"/>
    <n v="27.6"/>
    <x v="0"/>
  </r>
  <r>
    <s v="ORD0236"/>
    <d v="2025-08-24T00:00:00"/>
    <s v="CUST062"/>
    <x v="4"/>
    <s v="Kevin"/>
    <n v="4"/>
    <n v="0.05"/>
    <s v="Refunded"/>
    <n v="12"/>
    <n v="130"/>
    <n v="494"/>
    <n v="33.799999999999997"/>
    <n v="346.8"/>
    <x v="0"/>
  </r>
  <r>
    <s v="ORD0237"/>
    <d v="2025-05-07T00:00:00"/>
    <s v="CUST070"/>
    <x v="5"/>
    <s v="Bola"/>
    <n v="3"/>
    <n v="0.15"/>
    <s v="Paid"/>
    <n v="18"/>
    <n v="210"/>
    <n v="535.5"/>
    <n v="52.5"/>
    <n v="360"/>
    <x v="1"/>
  </r>
  <r>
    <s v="ORD0238"/>
    <d v="2025-12-20T00:00:00"/>
    <s v="CUST039"/>
    <x v="0"/>
    <s v="Maya"/>
    <n v="3"/>
    <n v="0.05"/>
    <s v="Paid"/>
    <n v="12"/>
    <n v="180"/>
    <n v="513"/>
    <n v="54"/>
    <n v="339"/>
    <x v="1"/>
  </r>
  <r>
    <s v="ORD0239"/>
    <d v="2025-10-21T00:00:00"/>
    <s v="CUST062"/>
    <x v="5"/>
    <s v="Kevin"/>
    <n v="5"/>
    <n v="0.05"/>
    <s v="Paid"/>
    <n v="15"/>
    <n v="210"/>
    <n v="997.5"/>
    <n v="52.5"/>
    <n v="720"/>
    <x v="0"/>
  </r>
  <r>
    <s v="ORD0240"/>
    <d v="2025-02-10T00:00:00"/>
    <s v="CUST051"/>
    <x v="5"/>
    <s v="Bola"/>
    <n v="2"/>
    <n v="0.05"/>
    <s v="Paid"/>
    <n v="15"/>
    <n v="210"/>
    <n v="399"/>
    <n v="52.5"/>
    <n v="279"/>
    <x v="1"/>
  </r>
  <r>
    <s v="ORD0241"/>
    <d v="2025-05-19T00:00:00"/>
    <s v="CUST033"/>
    <x v="9"/>
    <s v="Kevin"/>
    <n v="2"/>
    <n v="0"/>
    <s v="Pending"/>
    <n v="20"/>
    <n v="70"/>
    <n v="140"/>
    <n v="22.4"/>
    <n v="75.2"/>
    <x v="2"/>
  </r>
  <r>
    <s v="ORD0242"/>
    <d v="2025-05-03T00:00:00"/>
    <s v="CUST035"/>
    <x v="8"/>
    <s v="Grace"/>
    <n v="1"/>
    <n v="0.15"/>
    <s v="Paid"/>
    <n v="8"/>
    <n v="90"/>
    <n v="76.5"/>
    <n v="25.2"/>
    <n v="43.3"/>
    <x v="0"/>
  </r>
  <r>
    <s v="ORD0243"/>
    <d v="2025-06-19T00:00:00"/>
    <s v="CUST068"/>
    <x v="0"/>
    <s v="Maya"/>
    <n v="2"/>
    <n v="0"/>
    <s v="Paid"/>
    <n v="8"/>
    <n v="180"/>
    <n v="360"/>
    <n v="54"/>
    <n v="244"/>
    <x v="2"/>
  </r>
  <r>
    <s v="ORD0244"/>
    <d v="2025-09-01T00:00:00"/>
    <s v="CUST018"/>
    <x v="3"/>
    <s v="Maya"/>
    <n v="5"/>
    <n v="0"/>
    <s v="Paid"/>
    <n v="20"/>
    <n v="850"/>
    <n v="4250"/>
    <n v="187"/>
    <n v="3295"/>
    <x v="3"/>
  </r>
  <r>
    <s v="ORD0245"/>
    <d v="2025-02-15T00:00:00"/>
    <s v="CUST026"/>
    <x v="2"/>
    <s v="Kevin"/>
    <n v="3"/>
    <n v="0.05"/>
    <s v="Paid"/>
    <n v="10"/>
    <n v="320"/>
    <n v="912"/>
    <n v="86.4"/>
    <n v="642.79999999999995"/>
    <x v="2"/>
  </r>
  <r>
    <s v="ORD0246"/>
    <d v="2025-04-01T00:00:00"/>
    <s v="CUST069"/>
    <x v="3"/>
    <s v="Daniel"/>
    <n v="2"/>
    <n v="0.1"/>
    <s v="Pending"/>
    <n v="15"/>
    <n v="850"/>
    <n v="1530"/>
    <n v="187"/>
    <n v="1141"/>
    <x v="0"/>
  </r>
  <r>
    <s v="ORD0247"/>
    <d v="2025-10-18T00:00:00"/>
    <s v="CUST064"/>
    <x v="8"/>
    <s v="Kevin"/>
    <n v="3"/>
    <n v="0"/>
    <s v="Paid"/>
    <n v="8"/>
    <n v="90"/>
    <n v="270"/>
    <n v="25.2"/>
    <n v="186.4"/>
    <x v="1"/>
  </r>
  <r>
    <s v="ORD0248"/>
    <d v="2025-03-10T00:00:00"/>
    <s v="CUST043"/>
    <x v="2"/>
    <s v="Kevin"/>
    <n v="4"/>
    <n v="0.15"/>
    <s v="Paid"/>
    <n v="15"/>
    <n v="320"/>
    <n v="1088"/>
    <n v="86.4"/>
    <n v="727.4"/>
    <x v="3"/>
  </r>
  <r>
    <s v="ORD0249"/>
    <d v="2025-08-23T00:00:00"/>
    <s v="CUST035"/>
    <x v="0"/>
    <s v="Bola"/>
    <n v="1"/>
    <n v="0.05"/>
    <s v="Paid"/>
    <n v="20"/>
    <n v="180"/>
    <n v="171"/>
    <n v="54"/>
    <n v="97"/>
    <x v="0"/>
  </r>
  <r>
    <s v="ORD0250"/>
    <d v="2025-04-09T00:00:00"/>
    <s v="CUST024"/>
    <x v="3"/>
    <s v="Grace"/>
    <n v="3"/>
    <n v="0.05"/>
    <s v="Paid"/>
    <n v="18"/>
    <n v="850"/>
    <n v="2422.5"/>
    <n v="187"/>
    <n v="1843.5"/>
    <x v="1"/>
  </r>
  <r>
    <s v="ORD0251"/>
    <d v="2025-12-09T00:00:00"/>
    <s v="CUST052"/>
    <x v="6"/>
    <s v="Daniel"/>
    <n v="5"/>
    <n v="0.05"/>
    <s v="Paid"/>
    <n v="10"/>
    <n v="160"/>
    <n v="760"/>
    <n v="38.4"/>
    <n v="558"/>
    <x v="3"/>
  </r>
  <r>
    <s v="ORD0252"/>
    <d v="2025-07-16T00:00:00"/>
    <s v="CUST018"/>
    <x v="9"/>
    <s v="Grace"/>
    <n v="3"/>
    <n v="0"/>
    <s v="Paid"/>
    <n v="15"/>
    <n v="70"/>
    <n v="210"/>
    <n v="22.4"/>
    <n v="127.80000000000001"/>
    <x v="3"/>
  </r>
  <r>
    <s v="ORD0253"/>
    <d v="2025-01-06T00:00:00"/>
    <s v="CUST035"/>
    <x v="5"/>
    <s v="Bola"/>
    <n v="3"/>
    <n v="0.15"/>
    <s v="Paid"/>
    <n v="20"/>
    <n v="210"/>
    <n v="535.5"/>
    <n v="52.5"/>
    <n v="358"/>
    <x v="0"/>
  </r>
  <r>
    <s v="ORD0254"/>
    <d v="2025-03-23T00:00:00"/>
    <s v="CUST047"/>
    <x v="0"/>
    <s v="Maya"/>
    <n v="1"/>
    <n v="0"/>
    <s v="Paid"/>
    <n v="20"/>
    <n v="180"/>
    <n v="180"/>
    <n v="54"/>
    <n v="106"/>
    <x v="2"/>
  </r>
  <r>
    <s v="ORD0255"/>
    <d v="2025-04-24T00:00:00"/>
    <s v="CUST065"/>
    <x v="2"/>
    <s v="Grace"/>
    <n v="1"/>
    <n v="0.05"/>
    <s v="Paid"/>
    <n v="10"/>
    <n v="320"/>
    <n v="304"/>
    <n v="86.4"/>
    <n v="207.6"/>
    <x v="2"/>
  </r>
  <r>
    <s v="ORD0256"/>
    <d v="2025-12-26T00:00:00"/>
    <s v="CUST062"/>
    <x v="8"/>
    <s v="Kevin"/>
    <n v="4"/>
    <n v="0.15"/>
    <s v="Paid"/>
    <n v="15"/>
    <n v="90"/>
    <n v="306"/>
    <n v="25.2"/>
    <n v="190.2"/>
    <x v="0"/>
  </r>
  <r>
    <s v="ORD0257"/>
    <d v="2025-02-11T00:00:00"/>
    <s v="CUST069"/>
    <x v="0"/>
    <s v="Kevin"/>
    <n v="2"/>
    <n v="0.15"/>
    <s v="Pending"/>
    <n v="15"/>
    <n v="180"/>
    <n v="306"/>
    <n v="54"/>
    <n v="183"/>
    <x v="0"/>
  </r>
  <r>
    <s v="ORD0258"/>
    <d v="2025-10-08T00:00:00"/>
    <s v="CUST068"/>
    <x v="5"/>
    <s v="Kevin"/>
    <n v="1"/>
    <n v="0.15"/>
    <s v="Paid"/>
    <n v="10"/>
    <n v="210"/>
    <n v="178.5"/>
    <n v="52.5"/>
    <n v="116"/>
    <x v="2"/>
  </r>
  <r>
    <s v="ORD0259"/>
    <d v="2025-09-24T00:00:00"/>
    <s v="CUST074"/>
    <x v="4"/>
    <s v="Maya"/>
    <n v="2"/>
    <n v="0"/>
    <s v="Paid"/>
    <n v="8"/>
    <n v="130"/>
    <n v="260"/>
    <n v="33.799999999999997"/>
    <n v="184.4"/>
    <x v="0"/>
  </r>
  <r>
    <s v="ORD0260"/>
    <d v="2025-08-17T00:00:00"/>
    <s v="CUST027"/>
    <x v="7"/>
    <s v="Daniel"/>
    <n v="4"/>
    <n v="0"/>
    <s v="Pending"/>
    <n v="15"/>
    <n v="240"/>
    <n v="960"/>
    <n v="55.2"/>
    <n v="724.2"/>
    <x v="1"/>
  </r>
  <r>
    <s v="ORD0261"/>
    <d v="2025-10-14T00:00:00"/>
    <s v="CUST017"/>
    <x v="4"/>
    <s v="Maya"/>
    <n v="4"/>
    <n v="0.1"/>
    <s v="Paid"/>
    <n v="20"/>
    <n v="130"/>
    <n v="468"/>
    <n v="33.799999999999997"/>
    <n v="312.8"/>
    <x v="1"/>
  </r>
  <r>
    <s v="ORD0262"/>
    <d v="2025-04-22T00:00:00"/>
    <s v="CUST040"/>
    <x v="3"/>
    <s v="Kevin"/>
    <n v="4"/>
    <n v="0.05"/>
    <s v="Pending"/>
    <n v="8"/>
    <n v="850"/>
    <n v="3230"/>
    <n v="187"/>
    <n v="2474"/>
    <x v="3"/>
  </r>
  <r>
    <s v="ORD0263"/>
    <d v="2025-01-31T00:00:00"/>
    <s v="CUST006"/>
    <x v="6"/>
    <s v="Daniel"/>
    <n v="3"/>
    <n v="0"/>
    <s v="Paid"/>
    <n v="15"/>
    <n v="160"/>
    <n v="480"/>
    <n v="38.4"/>
    <n v="349.8"/>
    <x v="2"/>
  </r>
  <r>
    <s v="ORD0264"/>
    <d v="2025-11-25T00:00:00"/>
    <s v="CUST005"/>
    <x v="2"/>
    <s v="Maya"/>
    <n v="4"/>
    <n v="0"/>
    <s v="Paid"/>
    <n v="12"/>
    <n v="320"/>
    <n v="1280"/>
    <n v="86.4"/>
    <n v="922.4"/>
    <x v="0"/>
  </r>
  <r>
    <s v="ORD0265"/>
    <d v="2025-12-05T00:00:00"/>
    <s v="CUST049"/>
    <x v="9"/>
    <s v="Kevin"/>
    <n v="4"/>
    <n v="0.1"/>
    <s v="Paid"/>
    <n v="10"/>
    <n v="70"/>
    <n v="252"/>
    <n v="22.4"/>
    <n v="152.4"/>
    <x v="1"/>
  </r>
  <r>
    <s v="ORD0266"/>
    <d v="2025-03-07T00:00:00"/>
    <s v="CUST045"/>
    <x v="1"/>
    <s v="Grace"/>
    <n v="2"/>
    <n v="0.15"/>
    <s v="Paid"/>
    <n v="8"/>
    <n v="600"/>
    <n v="1020"/>
    <n v="120"/>
    <n v="772"/>
    <x v="0"/>
  </r>
  <r>
    <s v="ORD0267"/>
    <d v="2025-07-14T00:00:00"/>
    <s v="CUST003"/>
    <x v="2"/>
    <s v="Grace"/>
    <n v="4"/>
    <n v="0.15"/>
    <s v="Paid"/>
    <n v="10"/>
    <n v="320"/>
    <n v="1088"/>
    <n v="86.4"/>
    <n v="732.4"/>
    <x v="0"/>
  </r>
  <r>
    <s v="ORD0268"/>
    <d v="2025-02-27T00:00:00"/>
    <s v="CUST059"/>
    <x v="5"/>
    <s v="Daniel"/>
    <n v="2"/>
    <n v="0.05"/>
    <s v="Paid"/>
    <n v="20"/>
    <n v="210"/>
    <n v="399"/>
    <n v="52.5"/>
    <n v="274"/>
    <x v="2"/>
  </r>
  <r>
    <s v="ORD0269"/>
    <d v="2025-02-21T00:00:00"/>
    <s v="CUST054"/>
    <x v="7"/>
    <s v="Kevin"/>
    <n v="1"/>
    <n v="0"/>
    <s v="Paid"/>
    <n v="8"/>
    <n v="240"/>
    <n v="240"/>
    <n v="55.2"/>
    <n v="176.8"/>
    <x v="3"/>
  </r>
  <r>
    <s v="ORD0270"/>
    <d v="2025-07-25T00:00:00"/>
    <s v="CUST058"/>
    <x v="7"/>
    <s v="Maya"/>
    <n v="1"/>
    <n v="0"/>
    <s v="Paid"/>
    <n v="10"/>
    <n v="240"/>
    <n v="240"/>
    <n v="55.2"/>
    <n v="174.8"/>
    <x v="3"/>
  </r>
  <r>
    <s v="ORD0271"/>
    <d v="2025-05-29T00:00:00"/>
    <s v="CUST070"/>
    <x v="0"/>
    <s v="Grace"/>
    <n v="1"/>
    <n v="0"/>
    <s v="Paid"/>
    <n v="20"/>
    <n v="180"/>
    <n v="180"/>
    <n v="54"/>
    <n v="106"/>
    <x v="1"/>
  </r>
  <r>
    <s v="ORD0272"/>
    <d v="2025-06-14T00:00:00"/>
    <s v="CUST074"/>
    <x v="5"/>
    <s v="Grace"/>
    <n v="5"/>
    <n v="0.15"/>
    <s v="Paid"/>
    <n v="12"/>
    <n v="210"/>
    <n v="892.5"/>
    <n v="52.5"/>
    <n v="618"/>
    <x v="0"/>
  </r>
  <r>
    <s v="ORD0273"/>
    <d v="2025-02-01T00:00:00"/>
    <s v="CUST019"/>
    <x v="4"/>
    <s v="Kevin"/>
    <n v="2"/>
    <n v="0.1"/>
    <s v="Paid"/>
    <n v="18"/>
    <n v="130"/>
    <n v="234"/>
    <n v="33.799999999999997"/>
    <n v="148.4"/>
    <x v="0"/>
  </r>
  <r>
    <s v="ORD0274"/>
    <d v="2025-06-26T00:00:00"/>
    <s v="CUST023"/>
    <x v="6"/>
    <s v="Maya"/>
    <n v="5"/>
    <n v="0.1"/>
    <s v="Paid"/>
    <n v="18"/>
    <n v="160"/>
    <n v="720"/>
    <n v="38.4"/>
    <n v="510"/>
    <x v="3"/>
  </r>
  <r>
    <s v="ORD0275"/>
    <d v="2025-04-05T00:00:00"/>
    <s v="CUST041"/>
    <x v="6"/>
    <s v="Kevin"/>
    <n v="4"/>
    <n v="0"/>
    <s v="Paid"/>
    <n v="15"/>
    <n v="160"/>
    <n v="640"/>
    <n v="38.4"/>
    <n v="471.4"/>
    <x v="0"/>
  </r>
  <r>
    <s v="ORD0276"/>
    <d v="2025-01-30T00:00:00"/>
    <s v="CUST031"/>
    <x v="0"/>
    <s v="Kevin"/>
    <n v="3"/>
    <n v="0"/>
    <s v="Pending"/>
    <n v="15"/>
    <n v="180"/>
    <n v="540"/>
    <n v="54"/>
    <n v="363"/>
    <x v="3"/>
  </r>
  <r>
    <s v="ORD0277"/>
    <d v="2025-05-11T00:00:00"/>
    <s v="CUST054"/>
    <x v="4"/>
    <s v="Grace"/>
    <n v="5"/>
    <n v="0"/>
    <s v="Paid"/>
    <n v="12"/>
    <n v="130"/>
    <n v="650"/>
    <n v="33.799999999999997"/>
    <n v="469"/>
    <x v="3"/>
  </r>
  <r>
    <s v="ORD0278"/>
    <d v="2025-04-08T00:00:00"/>
    <s v="CUST011"/>
    <x v="9"/>
    <s v="Daniel"/>
    <n v="3"/>
    <n v="0"/>
    <s v="Paid"/>
    <n v="12"/>
    <n v="70"/>
    <n v="210"/>
    <n v="22.4"/>
    <n v="130.80000000000001"/>
    <x v="1"/>
  </r>
  <r>
    <s v="ORD0279"/>
    <d v="2025-04-07T00:00:00"/>
    <s v="CUST049"/>
    <x v="7"/>
    <s v="Kevin"/>
    <n v="5"/>
    <n v="0"/>
    <s v="Pending"/>
    <n v="20"/>
    <n v="240"/>
    <n v="1200"/>
    <n v="55.2"/>
    <n v="904"/>
    <x v="1"/>
  </r>
  <r>
    <s v="ORD0280"/>
    <d v="2025-06-20T00:00:00"/>
    <s v="CUST072"/>
    <x v="0"/>
    <s v="Bola"/>
    <n v="4"/>
    <n v="0"/>
    <s v="Pending"/>
    <n v="8"/>
    <n v="180"/>
    <n v="720"/>
    <n v="54"/>
    <n v="496"/>
    <x v="3"/>
  </r>
  <r>
    <s v="ORD0281"/>
    <d v="2025-12-23T00:00:00"/>
    <s v="CUST028"/>
    <x v="0"/>
    <s v="Kevin"/>
    <n v="1"/>
    <n v="0.1"/>
    <s v="Pending"/>
    <n v="20"/>
    <n v="180"/>
    <n v="162"/>
    <n v="54"/>
    <n v="88"/>
    <x v="1"/>
  </r>
  <r>
    <s v="ORD0282"/>
    <d v="2025-05-25T00:00:00"/>
    <s v="CUST027"/>
    <x v="6"/>
    <s v="Maya"/>
    <n v="2"/>
    <n v="0.15"/>
    <s v="Paid"/>
    <n v="15"/>
    <n v="160"/>
    <n v="272"/>
    <n v="38.4"/>
    <n v="180.2"/>
    <x v="1"/>
  </r>
  <r>
    <s v="ORD0283"/>
    <d v="2025-09-12T00:00:00"/>
    <s v="CUST069"/>
    <x v="5"/>
    <s v="Maya"/>
    <n v="3"/>
    <n v="0.05"/>
    <s v="Paid"/>
    <n v="8"/>
    <n v="210"/>
    <n v="598.5"/>
    <n v="52.5"/>
    <n v="433"/>
    <x v="0"/>
  </r>
  <r>
    <s v="ORD0284"/>
    <d v="2025-01-24T00:00:00"/>
    <s v="CUST061"/>
    <x v="5"/>
    <s v="Kevin"/>
    <n v="2"/>
    <n v="0.05"/>
    <s v="Paid"/>
    <n v="10"/>
    <n v="210"/>
    <n v="399"/>
    <n v="52.5"/>
    <n v="284"/>
    <x v="0"/>
  </r>
  <r>
    <s v="ORD0285"/>
    <d v="2025-10-24T00:00:00"/>
    <s v="CUST019"/>
    <x v="3"/>
    <s v="Maya"/>
    <n v="3"/>
    <n v="0.15"/>
    <s v="Pending"/>
    <n v="12"/>
    <n v="850"/>
    <n v="2167.5"/>
    <n v="187"/>
    <n v="1594.5"/>
    <x v="0"/>
  </r>
  <r>
    <s v="ORD0286"/>
    <d v="2025-05-06T00:00:00"/>
    <s v="CUST020"/>
    <x v="0"/>
    <s v="Maya"/>
    <n v="3"/>
    <n v="0"/>
    <s v="Paid"/>
    <n v="18"/>
    <n v="180"/>
    <n v="540"/>
    <n v="54"/>
    <n v="360"/>
    <x v="3"/>
  </r>
  <r>
    <s v="ORD0287"/>
    <d v="2025-06-30T00:00:00"/>
    <s v="CUST044"/>
    <x v="2"/>
    <s v="Grace"/>
    <n v="4"/>
    <n v="0.1"/>
    <s v="Paid"/>
    <n v="10"/>
    <n v="320"/>
    <n v="1152"/>
    <n v="86.4"/>
    <n v="796.4"/>
    <x v="0"/>
  </r>
  <r>
    <s v="ORD0288"/>
    <d v="2025-01-31T00:00:00"/>
    <s v="CUST070"/>
    <x v="9"/>
    <s v="Kevin"/>
    <n v="2"/>
    <n v="0.15"/>
    <s v="Refunded"/>
    <n v="8"/>
    <n v="70"/>
    <n v="119"/>
    <n v="22.4"/>
    <n v="66.2"/>
    <x v="1"/>
  </r>
  <r>
    <s v="ORD0289"/>
    <d v="2025-11-19T00:00:00"/>
    <s v="CUST010"/>
    <x v="3"/>
    <s v="Grace"/>
    <n v="1"/>
    <n v="-0.05"/>
    <s v="Paid"/>
    <n v="8"/>
    <n v="850"/>
    <n v="892.5"/>
    <n v="187"/>
    <n v="697.5"/>
    <x v="0"/>
  </r>
  <r>
    <s v="ORD0290"/>
    <d v="2025-01-31T00:00:00"/>
    <s v="CUST020"/>
    <x v="3"/>
    <s v="Kevin"/>
    <n v="2"/>
    <n v="0.15"/>
    <s v="Paid"/>
    <n v="20"/>
    <n v="850"/>
    <n v="1445"/>
    <n v="187"/>
    <n v="1051"/>
    <x v="3"/>
  </r>
  <r>
    <s v="ORD0291"/>
    <d v="2025-10-10T00:00:00"/>
    <s v="CUST079"/>
    <x v="9"/>
    <s v="Maya"/>
    <n v="4"/>
    <n v="0"/>
    <s v="Paid"/>
    <n v="8"/>
    <n v="70"/>
    <n v="280"/>
    <n v="22.4"/>
    <n v="182.4"/>
    <x v="0"/>
  </r>
  <r>
    <s v="ORD0292"/>
    <d v="2025-01-09T00:00:00"/>
    <s v="CUST003"/>
    <x v="4"/>
    <s v="Kevin"/>
    <n v="3"/>
    <n v="0.15"/>
    <s v="Refunded"/>
    <n v="20"/>
    <n v="130"/>
    <n v="331.5"/>
    <n v="33.799999999999997"/>
    <n v="210.10000000000002"/>
    <x v="0"/>
  </r>
  <r>
    <s v="ORD0293"/>
    <d v="2025-05-04T00:00:00"/>
    <s v="CUST056"/>
    <x v="8"/>
    <s v="Grace"/>
    <n v="1"/>
    <n v="0"/>
    <s v="Paid"/>
    <n v="18"/>
    <n v="90"/>
    <n v="90"/>
    <n v="25.2"/>
    <n v="46.8"/>
    <x v="2"/>
  </r>
  <r>
    <s v="ORD0294"/>
    <d v="2025-02-10T00:00:00"/>
    <s v="CUST068"/>
    <x v="2"/>
    <s v="Bola"/>
    <n v="3"/>
    <n v="0.05"/>
    <s v="Pending"/>
    <n v="15"/>
    <n v="320"/>
    <n v="912"/>
    <n v="86.4"/>
    <n v="637.79999999999995"/>
    <x v="2"/>
  </r>
  <r>
    <s v="ORD0295"/>
    <d v="2025-02-11T00:00:00"/>
    <s v="CUST059"/>
    <x v="7"/>
    <s v="Daniel"/>
    <n v="2"/>
    <n v="0"/>
    <s v="Paid"/>
    <n v="8"/>
    <n v="240"/>
    <n v="480"/>
    <n v="55.2"/>
    <n v="361.6"/>
    <x v="2"/>
  </r>
  <r>
    <s v="ORD0296"/>
    <d v="2025-11-23T00:00:00"/>
    <s v="CUST052"/>
    <x v="6"/>
    <s v="Daniel"/>
    <n v="4"/>
    <n v="0.15"/>
    <s v="Paid"/>
    <n v="20"/>
    <n v="160"/>
    <n v="544"/>
    <n v="38.4"/>
    <n v="370.4"/>
    <x v="3"/>
  </r>
  <r>
    <s v="ORD0297"/>
    <d v="2025-06-19T00:00:00"/>
    <s v="CUST022"/>
    <x v="1"/>
    <s v="Kevin"/>
    <n v="4"/>
    <n v="0.1"/>
    <s v="Paid"/>
    <n v="8"/>
    <n v="600"/>
    <n v="2160"/>
    <n v="120"/>
    <n v="1672"/>
    <x v="3"/>
  </r>
  <r>
    <s v="ORD0298"/>
    <d v="2025-12-21T00:00:00"/>
    <s v="CUST068"/>
    <x v="3"/>
    <s v="Kevin"/>
    <n v="2"/>
    <n v="0"/>
    <s v="Pending"/>
    <n v="15"/>
    <n v="850"/>
    <n v="1700"/>
    <n v="187"/>
    <n v="1311"/>
    <x v="2"/>
  </r>
  <r>
    <s v="ORD0299"/>
    <d v="2025-10-16T00:00:00"/>
    <s v="CUST035"/>
    <x v="3"/>
    <s v="Daniel"/>
    <n v="1"/>
    <n v="0.05"/>
    <s v="Pending"/>
    <n v="10"/>
    <n v="850"/>
    <n v="807.5"/>
    <n v="187"/>
    <n v="610.5"/>
    <x v="0"/>
  </r>
  <r>
    <s v="ORD0300"/>
    <d v="2025-12-31T00:00:00"/>
    <s v="CUST041"/>
    <x v="3"/>
    <s v="Maya"/>
    <n v="2"/>
    <n v="0.15"/>
    <s v="Paid"/>
    <n v="8"/>
    <n v="850"/>
    <n v="1445"/>
    <n v="187"/>
    <n v="1063"/>
    <x v="0"/>
  </r>
  <r>
    <s v="ORD0301"/>
    <d v="2025-07-19T00:00:00"/>
    <s v="CUST039"/>
    <x v="8"/>
    <s v="Kevin"/>
    <n v="5"/>
    <n v="0"/>
    <s v="Paid"/>
    <n v="12"/>
    <n v="90"/>
    <n v="450"/>
    <n v="25.2"/>
    <n v="312"/>
    <x v="1"/>
  </r>
  <r>
    <s v="ORD0302"/>
    <d v="2025-06-27T00:00:00"/>
    <s v="CUST050"/>
    <x v="8"/>
    <s v="Daniel"/>
    <n v="1"/>
    <n v="0.15"/>
    <s v="Paid"/>
    <n v="8"/>
    <n v="90"/>
    <n v="76.5"/>
    <n v="25.2"/>
    <n v="43.3"/>
    <x v="0"/>
  </r>
  <r>
    <s v="ORD0303"/>
    <d v="2025-11-11T00:00:00"/>
    <s v="CUST056"/>
    <x v="0"/>
    <s v="Kevin"/>
    <n v="1"/>
    <n v="0.05"/>
    <s v="Paid"/>
    <n v="15"/>
    <n v="180"/>
    <n v="171"/>
    <n v="54"/>
    <n v="102"/>
    <x v="2"/>
  </r>
  <r>
    <s v="ORD0304"/>
    <d v="2025-07-02T00:00:00"/>
    <s v="CUST042"/>
    <x v="3"/>
    <s v="Kevin"/>
    <n v="3"/>
    <n v="0.1"/>
    <s v="Paid"/>
    <n v="15"/>
    <n v="850"/>
    <n v="2295"/>
    <n v="187"/>
    <n v="1719"/>
    <x v="0"/>
  </r>
  <r>
    <s v="ORD0305"/>
    <d v="2025-11-13T00:00:00"/>
    <s v="CUST056"/>
    <x v="8"/>
    <s v="Bola"/>
    <n v="5"/>
    <n v="0.1"/>
    <s v="Paid"/>
    <n v="10"/>
    <n v="90"/>
    <n v="405"/>
    <n v="25.2"/>
    <n v="269"/>
    <x v="2"/>
  </r>
  <r>
    <s v="ORD0306"/>
    <d v="2025-11-21T00:00:00"/>
    <s v="CUST010"/>
    <x v="1"/>
    <s v="Grace"/>
    <n v="3"/>
    <n v="0"/>
    <s v="Paid"/>
    <n v="20"/>
    <n v="600"/>
    <n v="1800"/>
    <n v="120"/>
    <n v="1420"/>
    <x v="0"/>
  </r>
  <r>
    <s v="ORD0307"/>
    <d v="2025-06-07T00:00:00"/>
    <s v="CUST050"/>
    <x v="5"/>
    <s v="Maya"/>
    <n v="3"/>
    <n v="0"/>
    <s v="Paid"/>
    <n v="12"/>
    <n v="210"/>
    <n v="630"/>
    <n v="52.5"/>
    <n v="460.5"/>
    <x v="0"/>
  </r>
  <r>
    <s v="ORD0308"/>
    <d v="2025-08-18T00:00:00"/>
    <s v="CUST035"/>
    <x v="1"/>
    <s v="Kevin"/>
    <n v="2"/>
    <n v="0"/>
    <s v="Paid"/>
    <n v="18"/>
    <n v="600"/>
    <n v="1200"/>
    <n v="120"/>
    <n v="942"/>
    <x v="0"/>
  </r>
  <r>
    <s v="ORD0309"/>
    <d v="2025-10-11T00:00:00"/>
    <s v="CUST066"/>
    <x v="6"/>
    <s v="Daniel"/>
    <n v="1"/>
    <n v="0"/>
    <s v="Paid"/>
    <n v="18"/>
    <n v="160"/>
    <n v="160"/>
    <n v="38.4"/>
    <n v="103.6"/>
    <x v="0"/>
  </r>
  <r>
    <s v="ORD0310"/>
    <d v="2025-07-18T00:00:00"/>
    <s v="CUST077"/>
    <x v="5"/>
    <s v="Daniel"/>
    <n v="4"/>
    <n v="0"/>
    <s v="Paid"/>
    <n v="20"/>
    <n v="210"/>
    <n v="840"/>
    <n v="52.5"/>
    <n v="610"/>
    <x v="3"/>
  </r>
  <r>
    <s v="ORD0311"/>
    <d v="2025-07-14T00:00:00"/>
    <s v="CUST072"/>
    <x v="0"/>
    <s v="Grace"/>
    <n v="5"/>
    <n v="0.15"/>
    <s v="Paid"/>
    <n v="10"/>
    <n v="180"/>
    <n v="765"/>
    <n v="54"/>
    <n v="485"/>
    <x v="3"/>
  </r>
  <r>
    <s v="ORD0312"/>
    <d v="2025-03-27T00:00:00"/>
    <s v="CUST035"/>
    <x v="2"/>
    <s v="Maya"/>
    <n v="3"/>
    <n v="0.1"/>
    <s v="Paid"/>
    <n v="12"/>
    <n v="320"/>
    <n v="864"/>
    <n v="86.4"/>
    <n v="592.79999999999995"/>
    <x v="0"/>
  </r>
  <r>
    <s v="ORD0313"/>
    <d v="2025-05-07T00:00:00"/>
    <s v="CUST054"/>
    <x v="2"/>
    <s v="Maya"/>
    <n v="4"/>
    <n v="0"/>
    <s v="Paid"/>
    <n v="18"/>
    <n v="320"/>
    <n v="1280"/>
    <n v="86.4"/>
    <n v="916.4"/>
    <x v="3"/>
  </r>
  <r>
    <s v="ORD0314"/>
    <d v="2025-01-04T00:00:00"/>
    <s v="CUST079"/>
    <x v="0"/>
    <s v="Maya"/>
    <n v="4"/>
    <n v="0"/>
    <s v="Paid"/>
    <n v="12"/>
    <n v="180"/>
    <n v="720"/>
    <n v="54"/>
    <n v="492"/>
    <x v="0"/>
  </r>
  <r>
    <s v="ORD0315"/>
    <d v="2025-11-30T00:00:00"/>
    <s v="CUST080"/>
    <x v="6"/>
    <s v="Kevin"/>
    <n v="3"/>
    <n v="0.1"/>
    <s v="Paid"/>
    <n v="10"/>
    <n v="160"/>
    <n v="432"/>
    <n v="38.4"/>
    <n v="306.8"/>
    <x v="1"/>
  </r>
  <r>
    <s v="ORD0316"/>
    <d v="2025-04-01T00:00:00"/>
    <s v="CUST039"/>
    <x v="5"/>
    <s v="Maya"/>
    <n v="5"/>
    <n v="0"/>
    <s v="Paid"/>
    <n v="12"/>
    <n v="210"/>
    <n v="1050"/>
    <n v="52.5"/>
    <n v="775.5"/>
    <x v="1"/>
  </r>
  <r>
    <s v="ORD0317"/>
    <d v="2025-05-24T00:00:00"/>
    <s v="CUST038"/>
    <x v="9"/>
    <s v="Maya"/>
    <n v="5"/>
    <n v="0"/>
    <s v="Paid"/>
    <n v="12"/>
    <n v="70"/>
    <n v="350"/>
    <n v="22.4"/>
    <n v="226"/>
    <x v="3"/>
  </r>
  <r>
    <s v="ORD0318"/>
    <d v="2025-04-03T00:00:00"/>
    <s v="CUST015"/>
    <x v="7"/>
    <s v="Kevin"/>
    <n v="2"/>
    <n v="0.15"/>
    <s v="Refunded"/>
    <n v="8"/>
    <n v="240"/>
    <n v="408"/>
    <n v="55.2"/>
    <n v="289.60000000000002"/>
    <x v="3"/>
  </r>
  <r>
    <s v="ORD0319"/>
    <d v="2025-02-05T00:00:00"/>
    <s v="CUST060"/>
    <x v="0"/>
    <s v="Maya"/>
    <n v="4"/>
    <n v="0.05"/>
    <s v="Pending"/>
    <n v="20"/>
    <n v="180"/>
    <n v="684"/>
    <n v="54"/>
    <n v="448"/>
    <x v="2"/>
  </r>
  <r>
    <s v="ORD0320"/>
    <d v="2025-03-20T00:00:00"/>
    <s v="CUST064"/>
    <x v="8"/>
    <s v="Maya"/>
    <n v="3"/>
    <n v="0"/>
    <s v="Paid"/>
    <n v="15"/>
    <n v="90"/>
    <n v="270"/>
    <n v="25.2"/>
    <n v="179.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ORD0001"/>
    <d v="2025-11-27T00:00:00"/>
    <x v="0"/>
    <s v="PROD004"/>
    <x v="0"/>
    <n v="3"/>
    <n v="0"/>
    <s v="Paid"/>
    <n v="15"/>
    <n v="180"/>
    <n v="540"/>
    <n v="54"/>
    <n v="363"/>
    <s v="West"/>
    <x v="0"/>
  </r>
  <r>
    <s v="ORD0002"/>
    <d v="2025-10-16T00:00:00"/>
    <x v="0"/>
    <s v="PROD002"/>
    <x v="1"/>
    <n v="1"/>
    <n v="0.1"/>
    <s v="Paid"/>
    <n v="8"/>
    <n v="600"/>
    <n v="540"/>
    <n v="120"/>
    <n v="412"/>
    <s v="West"/>
    <x v="1"/>
  </r>
  <r>
    <s v="ORD0003"/>
    <d v="2025-06-28T00:00:00"/>
    <x v="1"/>
    <s v="PROD004"/>
    <x v="1"/>
    <n v="5"/>
    <n v="0.05"/>
    <s v="Paid"/>
    <n v="10"/>
    <n v="180"/>
    <n v="855"/>
    <n v="54"/>
    <n v="575"/>
    <s v="West"/>
    <x v="0"/>
  </r>
  <r>
    <s v="ORD0004"/>
    <d v="2025-12-27T00:00:00"/>
    <x v="2"/>
    <s v="PROD005"/>
    <x v="0"/>
    <n v="2"/>
    <n v="0.1"/>
    <s v="Pending"/>
    <n v="18"/>
    <n v="320"/>
    <n v="576"/>
    <n v="86.4"/>
    <n v="385.2"/>
    <s v="East"/>
    <x v="2"/>
  </r>
  <r>
    <s v="ORD0005"/>
    <d v="2025-02-23T00:00:00"/>
    <x v="3"/>
    <s v="PROD001"/>
    <x v="2"/>
    <n v="5"/>
    <n v="0.05"/>
    <s v="Pending"/>
    <n v="12"/>
    <n v="850"/>
    <n v="4037.5"/>
    <n v="187"/>
    <n v="3090.5"/>
    <s v="North"/>
    <x v="3"/>
  </r>
  <r>
    <s v="ORD0006"/>
    <d v="2025-11-06T00:00:00"/>
    <x v="4"/>
    <s v="PROD002"/>
    <x v="2"/>
    <n v="5"/>
    <n v="0"/>
    <s v="Paid"/>
    <n v="20"/>
    <n v="600"/>
    <n v="3000"/>
    <n v="120"/>
    <n v="2380"/>
    <s v="South"/>
    <x v="1"/>
  </r>
  <r>
    <s v="ORD0007"/>
    <d v="2025-01-27T00:00:00"/>
    <x v="5"/>
    <s v="PROD004"/>
    <x v="1"/>
    <n v="3"/>
    <n v="0.15"/>
    <s v="Paid"/>
    <n v="20"/>
    <n v="180"/>
    <n v="459"/>
    <n v="54"/>
    <n v="277"/>
    <s v="West"/>
    <x v="0"/>
  </r>
  <r>
    <s v="ORD0008"/>
    <d v="2025-03-08T00:00:00"/>
    <x v="6"/>
    <s v="PROD005"/>
    <x v="0"/>
    <n v="1"/>
    <n v="0"/>
    <s v="Paid"/>
    <n v="10"/>
    <n v="320"/>
    <n v="320"/>
    <n v="86.4"/>
    <n v="223.6"/>
    <s v="West"/>
    <x v="2"/>
  </r>
  <r>
    <s v="ORD0009"/>
    <d v="2025-02-08T00:00:00"/>
    <x v="7"/>
    <s v="PROD009"/>
    <x v="2"/>
    <n v="4"/>
    <n v="0.15"/>
    <s v="Paid"/>
    <n v="18"/>
    <n v="130"/>
    <n v="442"/>
    <n v="33.799999999999997"/>
    <n v="288.8"/>
    <s v="North"/>
    <x v="4"/>
  </r>
  <r>
    <s v="ORD0010"/>
    <d v="2025-03-07T00:00:00"/>
    <x v="8"/>
    <s v="PROD006"/>
    <x v="1"/>
    <n v="5"/>
    <n v="0.15"/>
    <s v="Paid"/>
    <n v="12"/>
    <n v="210"/>
    <n v="892.5"/>
    <n v="52.5"/>
    <n v="618"/>
    <s v="West"/>
    <x v="5"/>
  </r>
  <r>
    <s v="ORD0011"/>
    <d v="2025-12-08T00:00:00"/>
    <x v="9"/>
    <s v="PROD001"/>
    <x v="1"/>
    <n v="3"/>
    <n v="0"/>
    <s v="Paid"/>
    <n v="12"/>
    <n v="850"/>
    <n v="2550"/>
    <n v="187"/>
    <n v="1977"/>
    <s v="North"/>
    <x v="3"/>
  </r>
  <r>
    <s v="ORD0012"/>
    <d v="2025-05-02T00:00:00"/>
    <x v="10"/>
    <s v="PROD007"/>
    <x v="2"/>
    <n v="5"/>
    <n v="0"/>
    <s v="Pending"/>
    <n v="10"/>
    <n v="160"/>
    <n v="800"/>
    <n v="38.4"/>
    <n v="598"/>
    <s v="South"/>
    <x v="6"/>
  </r>
  <r>
    <s v="ORD0013"/>
    <d v="2025-07-30T00:00:00"/>
    <x v="11"/>
    <s v="PROD001"/>
    <x v="2"/>
    <n v="2"/>
    <n v="0.05"/>
    <s v="Pending"/>
    <n v="12"/>
    <n v="850"/>
    <n v="1615"/>
    <n v="187"/>
    <n v="1229"/>
    <s v="West"/>
    <x v="3"/>
  </r>
  <r>
    <s v="ORD0014"/>
    <d v="2025-04-24T00:00:00"/>
    <x v="12"/>
    <s v="PROD002"/>
    <x v="2"/>
    <n v="4"/>
    <n v="0"/>
    <s v="Pending"/>
    <n v="15"/>
    <n v="600"/>
    <n v="2400"/>
    <n v="120"/>
    <n v="1905"/>
    <s v="East"/>
    <x v="1"/>
  </r>
  <r>
    <s v="ORD0015"/>
    <d v="2025-04-09T00:00:00"/>
    <x v="13"/>
    <s v="PROD005"/>
    <x v="3"/>
    <n v="2"/>
    <n v="0"/>
    <s v="Paid"/>
    <n v="12"/>
    <n v="320"/>
    <n v="640"/>
    <n v="86.4"/>
    <n v="455.2"/>
    <s v="West"/>
    <x v="2"/>
  </r>
  <r>
    <s v="ORD0016"/>
    <d v="2025-07-24T00:00:00"/>
    <x v="14"/>
    <s v="PROD002"/>
    <x v="4"/>
    <n v="3"/>
    <n v="0.05"/>
    <s v="Paid"/>
    <n v="12"/>
    <n v="600"/>
    <n v="1710"/>
    <n v="120"/>
    <n v="1338"/>
    <s v="East"/>
    <x v="1"/>
  </r>
  <r>
    <s v="ORD0017"/>
    <d v="2025-05-16T00:00:00"/>
    <x v="15"/>
    <s v="PROD002"/>
    <x v="1"/>
    <n v="3"/>
    <n v="0"/>
    <s v="Paid"/>
    <n v="8"/>
    <n v="600"/>
    <n v="1800"/>
    <n v="120"/>
    <n v="1432"/>
    <s v="West"/>
    <x v="1"/>
  </r>
  <r>
    <s v="ORD0018"/>
    <d v="2025-09-19T00:00:00"/>
    <x v="16"/>
    <s v="PROD007"/>
    <x v="1"/>
    <n v="3"/>
    <n v="0.05"/>
    <s v="Paid"/>
    <n v="15"/>
    <n v="160"/>
    <n v="456"/>
    <n v="38.4"/>
    <n v="325.8"/>
    <s v="South"/>
    <x v="6"/>
  </r>
  <r>
    <s v="ORD0019"/>
    <d v="2025-01-01T00:00:00"/>
    <x v="17"/>
    <s v="PROD004"/>
    <x v="4"/>
    <n v="3"/>
    <n v="0"/>
    <s v="Paid"/>
    <n v="18"/>
    <n v="180"/>
    <n v="540"/>
    <n v="54"/>
    <n v="360"/>
    <s v="West"/>
    <x v="0"/>
  </r>
  <r>
    <s v="ORD0020"/>
    <d v="2025-06-19T00:00:00"/>
    <x v="18"/>
    <s v="PROD006"/>
    <x v="4"/>
    <n v="4"/>
    <n v="0"/>
    <s v="Refunded"/>
    <n v="12"/>
    <n v="210"/>
    <n v="840"/>
    <n v="52.5"/>
    <n v="618"/>
    <s v="North"/>
    <x v="5"/>
  </r>
  <r>
    <s v="ORD0021"/>
    <d v="2025-06-17T00:00:00"/>
    <x v="19"/>
    <s v="PROD005"/>
    <x v="3"/>
    <n v="5"/>
    <n v="0.05"/>
    <s v="Paid"/>
    <n v="20"/>
    <n v="320"/>
    <n v="1520"/>
    <n v="86.4"/>
    <n v="1068"/>
    <s v="West"/>
    <x v="2"/>
  </r>
  <r>
    <s v="ORD0022"/>
    <d v="2025-07-14T00:00:00"/>
    <x v="20"/>
    <s v="PROD009"/>
    <x v="2"/>
    <n v="2"/>
    <n v="0"/>
    <s v="Paid"/>
    <n v="18"/>
    <n v="130"/>
    <n v="260"/>
    <n v="33.799999999999997"/>
    <n v="174.4"/>
    <s v="South"/>
    <x v="4"/>
  </r>
  <r>
    <s v="ORD0023"/>
    <d v="2025-06-05T00:00:00"/>
    <x v="21"/>
    <s v="PROD005"/>
    <x v="0"/>
    <n v="4"/>
    <n v="0.15"/>
    <s v="Pending"/>
    <n v="10"/>
    <n v="320"/>
    <n v="1088"/>
    <n v="86.4"/>
    <n v="732.4"/>
    <s v="West"/>
    <x v="2"/>
  </r>
  <r>
    <s v="ORD0024"/>
    <d v="2025-08-15T00:00:00"/>
    <x v="22"/>
    <s v="PROD010"/>
    <x v="2"/>
    <n v="5"/>
    <n v="0.05"/>
    <s v="Paid"/>
    <n v="18"/>
    <n v="240"/>
    <n v="1140"/>
    <n v="55.2"/>
    <n v="846"/>
    <s v="North"/>
    <x v="7"/>
  </r>
  <r>
    <s v="ORD0025"/>
    <d v="2025-11-21T00:00:00"/>
    <x v="23"/>
    <s v="PROD003"/>
    <x v="4"/>
    <n v="1"/>
    <n v="0.05"/>
    <s v="Paid"/>
    <n v="12"/>
    <n v="90"/>
    <n v="85.5"/>
    <n v="25.2"/>
    <n v="48.3"/>
    <s v="West"/>
    <x v="8"/>
  </r>
  <r>
    <s v="ORD0026"/>
    <d v="2025-03-17T00:00:00"/>
    <x v="24"/>
    <s v="PROD004"/>
    <x v="1"/>
    <n v="3"/>
    <n v="0"/>
    <s v="Pending"/>
    <n v="8"/>
    <n v="180"/>
    <n v="540"/>
    <n v="54"/>
    <n v="370"/>
    <s v="West"/>
    <x v="0"/>
  </r>
  <r>
    <s v="ORD0027"/>
    <d v="2025-11-19T00:00:00"/>
    <x v="25"/>
    <s v="PROD008"/>
    <x v="4"/>
    <n v="5"/>
    <n v="0"/>
    <s v="Paid"/>
    <n v="10"/>
    <n v="70"/>
    <n v="350"/>
    <n v="22.4"/>
    <n v="228"/>
    <s v="North"/>
    <x v="9"/>
  </r>
  <r>
    <s v="ORD0028"/>
    <d v="2025-12-19T00:00:00"/>
    <x v="26"/>
    <s v="PROD008"/>
    <x v="1"/>
    <n v="4"/>
    <n v="0"/>
    <s v="Paid"/>
    <n v="8"/>
    <n v="70"/>
    <n v="280"/>
    <n v="22.4"/>
    <n v="182.4"/>
    <s v="West"/>
    <x v="9"/>
  </r>
  <r>
    <s v="ORD0029"/>
    <d v="2025-10-13T00:00:00"/>
    <x v="6"/>
    <s v="PROD004"/>
    <x v="2"/>
    <n v="2"/>
    <n v="0.15"/>
    <s v="Paid"/>
    <n v="8"/>
    <n v="180"/>
    <n v="306"/>
    <n v="54"/>
    <n v="190"/>
    <s v="West"/>
    <x v="0"/>
  </r>
  <r>
    <s v="ORD0030"/>
    <d v="2025-11-01T00:00:00"/>
    <x v="27"/>
    <s v="PROD003"/>
    <x v="0"/>
    <n v="4"/>
    <n v="0.15"/>
    <s v="Refunded"/>
    <n v="15"/>
    <n v="90"/>
    <n v="306"/>
    <n v="25.2"/>
    <n v="190.2"/>
    <s v="North"/>
    <x v="8"/>
  </r>
  <r>
    <s v="ORD0031"/>
    <d v="2025-03-23T00:00:00"/>
    <x v="28"/>
    <s v="PROD009"/>
    <x v="3"/>
    <n v="4"/>
    <n v="0.15"/>
    <s v="Paid"/>
    <n v="15"/>
    <n v="130"/>
    <n v="442"/>
    <n v="33.799999999999997"/>
    <n v="291.8"/>
    <s v="West"/>
    <x v="4"/>
  </r>
  <r>
    <s v="ORD0032"/>
    <d v="2025-05-03T00:00:00"/>
    <x v="29"/>
    <s v="PROD004"/>
    <x v="0"/>
    <n v="3"/>
    <n v="0.15"/>
    <s v="Paid"/>
    <n v="15"/>
    <n v="180"/>
    <n v="459"/>
    <n v="54"/>
    <n v="282"/>
    <s v="East"/>
    <x v="0"/>
  </r>
  <r>
    <s v="ORD0033"/>
    <d v="2025-10-04T00:00:00"/>
    <x v="30"/>
    <s v="PROD005"/>
    <x v="1"/>
    <n v="2"/>
    <n v="0.05"/>
    <s v="Paid"/>
    <n v="10"/>
    <n v="320"/>
    <n v="608"/>
    <n v="86.4"/>
    <n v="425.2"/>
    <s v="West"/>
    <x v="2"/>
  </r>
  <r>
    <s v="ORD0034"/>
    <d v="2025-02-02T00:00:00"/>
    <x v="31"/>
    <s v="PROD004"/>
    <x v="3"/>
    <n v="4"/>
    <n v="0"/>
    <s v="Paid"/>
    <n v="15"/>
    <n v="180"/>
    <n v="720"/>
    <n v="54"/>
    <n v="489"/>
    <s v="South"/>
    <x v="0"/>
  </r>
  <r>
    <s v="ORD0035"/>
    <d v="2025-08-04T00:00:00"/>
    <x v="32"/>
    <s v="PROD009"/>
    <x v="3"/>
    <n v="4"/>
    <n v="0.1"/>
    <s v="Paid"/>
    <n v="18"/>
    <n v="130"/>
    <n v="468"/>
    <n v="33.799999999999997"/>
    <n v="314.8"/>
    <s v="South"/>
    <x v="4"/>
  </r>
  <r>
    <s v="ORD0036"/>
    <d v="2025-06-30T00:00:00"/>
    <x v="33"/>
    <s v="PROD010"/>
    <x v="0"/>
    <n v="4"/>
    <n v="0.1"/>
    <s v="Paid"/>
    <n v="15"/>
    <n v="240"/>
    <n v="864"/>
    <n v="55.2"/>
    <n v="628.20000000000005"/>
    <s v="West"/>
    <x v="7"/>
  </r>
  <r>
    <s v="ORD0037"/>
    <d v="2025-09-07T00:00:00"/>
    <x v="34"/>
    <s v="PROD009"/>
    <x v="2"/>
    <n v="5"/>
    <n v="0.15"/>
    <s v="Pending"/>
    <n v="12"/>
    <n v="130"/>
    <n v="552.5"/>
    <n v="33.799999999999997"/>
    <n v="371.5"/>
    <s v="South"/>
    <x v="4"/>
  </r>
  <r>
    <s v="ORD0038"/>
    <d v="2025-12-14T00:00:00"/>
    <x v="22"/>
    <s v="PROD008"/>
    <x v="3"/>
    <n v="1"/>
    <n v="0.1"/>
    <s v="Paid"/>
    <n v="20"/>
    <n v="70"/>
    <n v="63"/>
    <n v="22.4"/>
    <n v="20.6"/>
    <s v="North"/>
    <x v="9"/>
  </r>
  <r>
    <s v="ORD0039"/>
    <d v="2025-07-21T00:00:00"/>
    <x v="35"/>
    <s v="PROD008"/>
    <x v="4"/>
    <n v="2"/>
    <n v="0.15"/>
    <s v="Paid"/>
    <n v="18"/>
    <n v="70"/>
    <n v="119"/>
    <n v="22.4"/>
    <n v="56.2"/>
    <s v="South"/>
    <x v="9"/>
  </r>
  <r>
    <s v="ORD0040"/>
    <d v="2025-04-04T00:00:00"/>
    <x v="15"/>
    <s v="PROD002"/>
    <x v="1"/>
    <n v="4"/>
    <n v="0"/>
    <s v="Pending"/>
    <n v="12"/>
    <n v="600"/>
    <n v="2400"/>
    <n v="120"/>
    <n v="1908"/>
    <s v="West"/>
    <x v="1"/>
  </r>
  <r>
    <s v="ORD0041"/>
    <d v="2025-07-14T00:00:00"/>
    <x v="36"/>
    <s v="PROD006"/>
    <x v="0"/>
    <n v="2"/>
    <n v="0.1"/>
    <s v="Paid"/>
    <n v="15"/>
    <n v="210"/>
    <n v="378"/>
    <n v="52.5"/>
    <n v="258"/>
    <s v="East"/>
    <x v="5"/>
  </r>
  <r>
    <s v="ORD0042"/>
    <d v="2025-01-27T00:00:00"/>
    <x v="37"/>
    <s v="PROD002"/>
    <x v="0"/>
    <n v="4"/>
    <n v="0"/>
    <s v="Paid"/>
    <n v="10"/>
    <n v="600"/>
    <n v="2400"/>
    <n v="120"/>
    <n v="1910"/>
    <s v="North"/>
    <x v="1"/>
  </r>
  <r>
    <s v="ORD0043"/>
    <d v="2025-01-11T00:00:00"/>
    <x v="38"/>
    <s v="PROD001"/>
    <x v="4"/>
    <n v="1"/>
    <n v="0"/>
    <s v="Paid"/>
    <n v="10"/>
    <n v="850"/>
    <n v="850"/>
    <n v="187"/>
    <n v="653"/>
    <s v="East"/>
    <x v="3"/>
  </r>
  <r>
    <s v="ORD0044"/>
    <d v="2025-04-22T00:00:00"/>
    <x v="39"/>
    <s v="PROD003"/>
    <x v="3"/>
    <n v="4"/>
    <n v="0"/>
    <s v="Paid"/>
    <n v="20"/>
    <n v="90"/>
    <n v="360"/>
    <n v="25.2"/>
    <n v="239.2"/>
    <s v="South"/>
    <x v="8"/>
  </r>
  <r>
    <s v="ORD0045"/>
    <d v="2025-02-28T00:00:00"/>
    <x v="37"/>
    <s v="PROD006"/>
    <x v="2"/>
    <n v="2"/>
    <n v="0.15"/>
    <s v="Paid"/>
    <n v="12"/>
    <n v="210"/>
    <n v="357"/>
    <n v="52.5"/>
    <n v="240"/>
    <s v="North"/>
    <x v="5"/>
  </r>
  <r>
    <s v="ORD0046"/>
    <d v="2025-07-12T00:00:00"/>
    <x v="40"/>
    <s v="PROD010"/>
    <x v="3"/>
    <n v="1"/>
    <n v="0.05"/>
    <s v="Paid"/>
    <n v="20"/>
    <n v="240"/>
    <n v="228"/>
    <n v="55.2"/>
    <n v="152.80000000000001"/>
    <s v="South"/>
    <x v="7"/>
  </r>
  <r>
    <s v="ORD0047"/>
    <d v="2025-06-04T00:00:00"/>
    <x v="18"/>
    <s v="PROD002"/>
    <x v="4"/>
    <n v="5"/>
    <n v="0"/>
    <s v="Paid"/>
    <n v="8"/>
    <n v="600"/>
    <n v="3000"/>
    <n v="120"/>
    <n v="2392"/>
    <s v="North"/>
    <x v="1"/>
  </r>
  <r>
    <s v="ORD0048"/>
    <d v="2025-07-09T00:00:00"/>
    <x v="21"/>
    <s v="PROD001"/>
    <x v="1"/>
    <n v="3"/>
    <n v="0.15"/>
    <s v="Paid"/>
    <n v="18"/>
    <n v="850"/>
    <n v="2167.5"/>
    <n v="187"/>
    <n v="1588.5"/>
    <s v="West"/>
    <x v="3"/>
  </r>
  <r>
    <s v="ORD0049"/>
    <d v="2025-07-05T00:00:00"/>
    <x v="5"/>
    <s v="PROD001"/>
    <x v="3"/>
    <n v="4"/>
    <n v="0.1"/>
    <s v="Paid"/>
    <n v="20"/>
    <n v="850"/>
    <n v="3060"/>
    <n v="187"/>
    <n v="2292"/>
    <s v="West"/>
    <x v="3"/>
  </r>
  <r>
    <s v="ORD0050"/>
    <d v="2025-05-19T00:00:00"/>
    <x v="31"/>
    <s v="PROD007"/>
    <x v="4"/>
    <n v="2"/>
    <n v="0.15"/>
    <s v="Refunded"/>
    <n v="18"/>
    <n v="160"/>
    <n v="272"/>
    <n v="38.4"/>
    <n v="177.2"/>
    <s v="South"/>
    <x v="6"/>
  </r>
  <r>
    <s v="ORD0051"/>
    <d v="2025-05-06T00:00:00"/>
    <x v="41"/>
    <s v="PROD008"/>
    <x v="1"/>
    <n v="4"/>
    <n v="0.15"/>
    <s v="Paid"/>
    <n v="12"/>
    <n v="70"/>
    <n v="238"/>
    <n v="22.4"/>
    <n v="136.4"/>
    <s v="West"/>
    <x v="9"/>
  </r>
  <r>
    <s v="ORD0052"/>
    <d v="2025-07-14T00:00:00"/>
    <x v="42"/>
    <s v="PROD004"/>
    <x v="0"/>
    <n v="4"/>
    <n v="0.15"/>
    <s v="Paid"/>
    <n v="8"/>
    <n v="180"/>
    <n v="612"/>
    <n v="54"/>
    <n v="388"/>
    <s v="South"/>
    <x v="0"/>
  </r>
  <r>
    <s v="ORD0053"/>
    <d v="2025-05-13T00:00:00"/>
    <x v="43"/>
    <s v="PROD006"/>
    <x v="0"/>
    <n v="2"/>
    <n v="0.1"/>
    <s v="Paid"/>
    <n v="12"/>
    <n v="210"/>
    <n v="378"/>
    <n v="52.5"/>
    <n v="261"/>
    <s v="East"/>
    <x v="5"/>
  </r>
  <r>
    <s v="ORD0054"/>
    <d v="2025-04-08T00:00:00"/>
    <x v="16"/>
    <s v="PROD005"/>
    <x v="1"/>
    <n v="5"/>
    <n v="0"/>
    <s v="Paid"/>
    <n v="10"/>
    <n v="320"/>
    <n v="1600"/>
    <n v="86.4"/>
    <n v="1158"/>
    <s v="South"/>
    <x v="2"/>
  </r>
  <r>
    <s v="ORD0055"/>
    <d v="2025-11-27T00:00:00"/>
    <x v="11"/>
    <s v="PROD008"/>
    <x v="3"/>
    <n v="5"/>
    <n v="0"/>
    <s v="Paid"/>
    <n v="15"/>
    <n v="70"/>
    <n v="350"/>
    <n v="22.4"/>
    <n v="223"/>
    <s v="West"/>
    <x v="9"/>
  </r>
  <r>
    <s v="ORD0056"/>
    <d v="2025-05-05T00:00:00"/>
    <x v="33"/>
    <s v="PROD002"/>
    <x v="0"/>
    <n v="3"/>
    <n v="0"/>
    <s v="Paid"/>
    <n v="20"/>
    <n v="600"/>
    <n v="1800"/>
    <n v="120"/>
    <n v="1420"/>
    <s v="West"/>
    <x v="1"/>
  </r>
  <r>
    <s v="ORD0057"/>
    <d v="2025-08-06T00:00:00"/>
    <x v="44"/>
    <s v="PROD006"/>
    <x v="4"/>
    <n v="4"/>
    <n v="0.15"/>
    <s v="Paid"/>
    <n v="12"/>
    <n v="210"/>
    <n v="714"/>
    <n v="52.5"/>
    <n v="492"/>
    <s v="South"/>
    <x v="5"/>
  </r>
  <r>
    <s v="ORD0058"/>
    <d v="2025-03-03T00:00:00"/>
    <x v="45"/>
    <s v="PROD008"/>
    <x v="2"/>
    <n v="3"/>
    <n v="0.05"/>
    <s v="Paid"/>
    <n v="12"/>
    <n v="70"/>
    <n v="199.5"/>
    <n v="22.4"/>
    <n v="120.30000000000001"/>
    <s v="North"/>
    <x v="9"/>
  </r>
  <r>
    <s v="ORD0059"/>
    <d v="2025-09-05T00:00:00"/>
    <x v="19"/>
    <s v="PROD009"/>
    <x v="0"/>
    <n v="2"/>
    <n v="0"/>
    <s v="Paid"/>
    <n v="20"/>
    <n v="130"/>
    <n v="260"/>
    <n v="33.799999999999997"/>
    <n v="172.4"/>
    <s v="West"/>
    <x v="4"/>
  </r>
  <r>
    <s v="ORD0060"/>
    <d v="2025-04-10T00:00:00"/>
    <x v="46"/>
    <s v="PROD009"/>
    <x v="0"/>
    <n v="5"/>
    <n v="0.05"/>
    <s v="Refunded"/>
    <n v="10"/>
    <n v="130"/>
    <n v="617.5"/>
    <n v="33.799999999999997"/>
    <n v="438.5"/>
    <s v="South"/>
    <x v="4"/>
  </r>
  <r>
    <s v="ORD0061"/>
    <d v="2025-03-06T00:00:00"/>
    <x v="9"/>
    <s v="PROD003"/>
    <x v="0"/>
    <n v="3"/>
    <n v="0"/>
    <s v="Paid"/>
    <n v="8"/>
    <n v="90"/>
    <n v="270"/>
    <n v="25.2"/>
    <n v="186.4"/>
    <s v="North"/>
    <x v="8"/>
  </r>
  <r>
    <s v="ORD0062"/>
    <d v="2025-09-09T00:00:00"/>
    <x v="47"/>
    <s v="PROD009"/>
    <x v="1"/>
    <n v="3"/>
    <n v="0"/>
    <s v="Paid"/>
    <n v="8"/>
    <n v="130"/>
    <n v="390"/>
    <n v="33.799999999999997"/>
    <n v="280.60000000000002"/>
    <s v="East"/>
    <x v="4"/>
  </r>
  <r>
    <s v="ORD0063"/>
    <d v="2025-04-05T00:00:00"/>
    <x v="17"/>
    <s v="PROD005"/>
    <x v="1"/>
    <n v="4"/>
    <n v="0.1"/>
    <s v="Paid"/>
    <n v="12"/>
    <n v="320"/>
    <n v="1152"/>
    <n v="86.4"/>
    <n v="794.4"/>
    <s v="West"/>
    <x v="2"/>
  </r>
  <r>
    <s v="ORD0064"/>
    <d v="2025-10-23T00:00:00"/>
    <x v="41"/>
    <s v="PROD002"/>
    <x v="1"/>
    <n v="1"/>
    <n v="0.1"/>
    <s v="Paid"/>
    <n v="10"/>
    <n v="600"/>
    <n v="540"/>
    <n v="120"/>
    <n v="410"/>
    <s v="West"/>
    <x v="1"/>
  </r>
  <r>
    <s v="ORD0065"/>
    <d v="2025-03-02T00:00:00"/>
    <x v="31"/>
    <s v="PROD010"/>
    <x v="4"/>
    <n v="3"/>
    <n v="0"/>
    <s v="Refunded"/>
    <n v="15"/>
    <n v="240"/>
    <n v="720"/>
    <n v="55.2"/>
    <n v="539.4"/>
    <s v="South"/>
    <x v="7"/>
  </r>
  <r>
    <s v="ORD0066"/>
    <d v="2025-07-14T00:00:00"/>
    <x v="48"/>
    <s v="PROD010"/>
    <x v="3"/>
    <n v="5"/>
    <n v="0"/>
    <s v="Paid"/>
    <n v="15"/>
    <n v="240"/>
    <n v="1200"/>
    <n v="55.2"/>
    <n v="909"/>
    <s v="South"/>
    <x v="7"/>
  </r>
  <r>
    <s v="ORD0067"/>
    <d v="2025-01-31T00:00:00"/>
    <x v="49"/>
    <s v="PROD010"/>
    <x v="4"/>
    <n v="4"/>
    <n v="0.05"/>
    <s v="Paid"/>
    <n v="20"/>
    <n v="240"/>
    <n v="912"/>
    <n v="55.2"/>
    <n v="671.2"/>
    <s v="East"/>
    <x v="7"/>
  </r>
  <r>
    <s v="ORD0068"/>
    <d v="2025-03-22T00:00:00"/>
    <x v="50"/>
    <s v="PROD004"/>
    <x v="2"/>
    <n v="2"/>
    <n v="0.05"/>
    <s v="Paid"/>
    <n v="10"/>
    <n v="180"/>
    <n v="342"/>
    <n v="54"/>
    <n v="224"/>
    <s v="East"/>
    <x v="0"/>
  </r>
  <r>
    <s v="ORD0069"/>
    <d v="2025-12-19T00:00:00"/>
    <x v="51"/>
    <s v="PROD002"/>
    <x v="4"/>
    <n v="2"/>
    <n v="0"/>
    <s v="Paid"/>
    <n v="15"/>
    <n v="600"/>
    <n v="1200"/>
    <n v="120"/>
    <n v="945"/>
    <s v="North"/>
    <x v="1"/>
  </r>
  <r>
    <s v="ORD0070"/>
    <d v="2025-12-26T00:00:00"/>
    <x v="20"/>
    <s v="PROD001"/>
    <x v="3"/>
    <n v="2"/>
    <n v="0.05"/>
    <s v="Paid"/>
    <n v="8"/>
    <n v="850"/>
    <n v="1615"/>
    <n v="187"/>
    <n v="1233"/>
    <s v="South"/>
    <x v="3"/>
  </r>
  <r>
    <s v="ORD0071"/>
    <d v="2025-10-06T00:00:00"/>
    <x v="52"/>
    <s v="PROD005"/>
    <x v="2"/>
    <n v="5"/>
    <n v="0"/>
    <s v="Paid"/>
    <n v="20"/>
    <n v="320"/>
    <n v="1600"/>
    <n v="86.4"/>
    <n v="1148"/>
    <s v="North"/>
    <x v="2"/>
  </r>
  <r>
    <s v="ORD0072"/>
    <d v="2025-06-07T00:00:00"/>
    <x v="31"/>
    <s v="PROD005"/>
    <x v="4"/>
    <n v="2"/>
    <n v="0"/>
    <s v="Paid"/>
    <n v="20"/>
    <n v="320"/>
    <n v="640"/>
    <n v="86.4"/>
    <n v="447.2"/>
    <s v="South"/>
    <x v="2"/>
  </r>
  <r>
    <s v="ORD0073"/>
    <d v="2025-06-05T00:00:00"/>
    <x v="21"/>
    <s v="PROD005"/>
    <x v="3"/>
    <n v="4"/>
    <n v="0"/>
    <s v="Paid"/>
    <n v="12"/>
    <n v="320"/>
    <n v="1280"/>
    <n v="86.4"/>
    <n v="922.4"/>
    <s v="West"/>
    <x v="2"/>
  </r>
  <r>
    <s v="ORD0074"/>
    <d v="2025-01-21T00:00:00"/>
    <x v="53"/>
    <s v="PROD009"/>
    <x v="3"/>
    <n v="4"/>
    <n v="0.1"/>
    <s v="Paid"/>
    <n v="20"/>
    <n v="130"/>
    <n v="468"/>
    <n v="33.799999999999997"/>
    <n v="312.8"/>
    <s v="North"/>
    <x v="4"/>
  </r>
  <r>
    <s v="ORD0075"/>
    <d v="2025-12-12T00:00:00"/>
    <x v="54"/>
    <s v="PROD010"/>
    <x v="4"/>
    <n v="3"/>
    <n v="0"/>
    <s v="Paid"/>
    <n v="18"/>
    <n v="240"/>
    <n v="720"/>
    <n v="55.2"/>
    <n v="536.4"/>
    <s v="West"/>
    <x v="7"/>
  </r>
  <r>
    <s v="ORD0076"/>
    <d v="2025-03-31T00:00:00"/>
    <x v="33"/>
    <s v="PROD005"/>
    <x v="3"/>
    <n v="5"/>
    <n v="0"/>
    <s v="Paid"/>
    <n v="18"/>
    <n v="320"/>
    <n v="1600"/>
    <n v="86.4"/>
    <n v="1150"/>
    <s v="West"/>
    <x v="2"/>
  </r>
  <r>
    <s v="ORD0077"/>
    <d v="2025-09-09T00:00:00"/>
    <x v="7"/>
    <s v="PROD005"/>
    <x v="1"/>
    <n v="2"/>
    <n v="0.15"/>
    <s v="Paid"/>
    <n v="15"/>
    <n v="320"/>
    <n v="544"/>
    <n v="86.4"/>
    <n v="356.2"/>
    <s v="North"/>
    <x v="2"/>
  </r>
  <r>
    <s v="ORD0078"/>
    <d v="2025-03-24T00:00:00"/>
    <x v="13"/>
    <s v="PROD007"/>
    <x v="0"/>
    <n v="3"/>
    <n v="0.05"/>
    <s v="Paid"/>
    <n v="15"/>
    <n v="160"/>
    <n v="456"/>
    <n v="38.4"/>
    <n v="325.8"/>
    <s v="West"/>
    <x v="6"/>
  </r>
  <r>
    <s v="ORD0079"/>
    <d v="2025-02-15T00:00:00"/>
    <x v="43"/>
    <s v="PROD005"/>
    <x v="0"/>
    <n v="4"/>
    <n v="0.15"/>
    <s v="Paid"/>
    <n v="12"/>
    <n v="320"/>
    <n v="1088"/>
    <n v="86.4"/>
    <n v="730.4"/>
    <s v="East"/>
    <x v="2"/>
  </r>
  <r>
    <s v="ORD0080"/>
    <d v="2025-01-01T00:00:00"/>
    <x v="54"/>
    <s v="PROD002"/>
    <x v="4"/>
    <n v="4"/>
    <n v="0.15"/>
    <s v="Pending"/>
    <n v="15"/>
    <n v="600"/>
    <n v="2040"/>
    <n v="120"/>
    <n v="1545"/>
    <s v="West"/>
    <x v="1"/>
  </r>
  <r>
    <s v="ORD0081"/>
    <d v="2025-09-13T00:00:00"/>
    <x v="11"/>
    <s v="PROD001"/>
    <x v="3"/>
    <n v="2"/>
    <n v="0.15"/>
    <s v="Paid"/>
    <n v="8"/>
    <n v="850"/>
    <n v="1445"/>
    <n v="187"/>
    <n v="1063"/>
    <s v="West"/>
    <x v="3"/>
  </r>
  <r>
    <s v="ORD0082"/>
    <d v="2025-08-13T00:00:00"/>
    <x v="55"/>
    <s v="PROD005"/>
    <x v="3"/>
    <n v="5"/>
    <n v="0"/>
    <s v="Pending"/>
    <n v="8"/>
    <n v="320"/>
    <n v="1600"/>
    <n v="86.4"/>
    <n v="1160"/>
    <s v="East"/>
    <x v="2"/>
  </r>
  <r>
    <s v="ORD0083"/>
    <d v="2025-01-08T00:00:00"/>
    <x v="15"/>
    <s v="PROD010"/>
    <x v="4"/>
    <n v="2"/>
    <n v="0"/>
    <s v="Paid"/>
    <n v="15"/>
    <n v="240"/>
    <n v="480"/>
    <n v="55.2"/>
    <n v="354.6"/>
    <s v="West"/>
    <x v="7"/>
  </r>
  <r>
    <s v="ORD0084"/>
    <d v="2025-11-28T00:00:00"/>
    <x v="24"/>
    <s v="PROD004"/>
    <x v="2"/>
    <n v="1"/>
    <n v="0.1"/>
    <s v="Refunded"/>
    <n v="15"/>
    <n v="180"/>
    <n v="162"/>
    <n v="54"/>
    <n v="93"/>
    <s v="West"/>
    <x v="0"/>
  </r>
  <r>
    <s v="ORD0085"/>
    <d v="2025-08-30T00:00:00"/>
    <x v="20"/>
    <s v="PROD009"/>
    <x v="2"/>
    <n v="3"/>
    <n v="0.1"/>
    <s v="Pending"/>
    <n v="15"/>
    <n v="130"/>
    <n v="351"/>
    <n v="33.799999999999997"/>
    <n v="234.60000000000002"/>
    <s v="South"/>
    <x v="4"/>
  </r>
  <r>
    <s v="ORD0086"/>
    <d v="2025-09-18T00:00:00"/>
    <x v="51"/>
    <s v="PROD003"/>
    <x v="2"/>
    <n v="4"/>
    <n v="0"/>
    <s v="Pending"/>
    <n v="8"/>
    <n v="90"/>
    <n v="360"/>
    <n v="25.2"/>
    <n v="251.2"/>
    <s v="North"/>
    <x v="8"/>
  </r>
  <r>
    <s v="ORD0087"/>
    <d v="2025-01-02T00:00:00"/>
    <x v="14"/>
    <s v="PROD007"/>
    <x v="0"/>
    <n v="3"/>
    <n v="0.15"/>
    <s v="Paid"/>
    <n v="20"/>
    <n v="160"/>
    <n v="408"/>
    <n v="38.4"/>
    <n v="272.8"/>
    <s v="East"/>
    <x v="6"/>
  </r>
  <r>
    <s v="ORD0088"/>
    <d v="2025-08-17T00:00:00"/>
    <x v="49"/>
    <s v="PROD010"/>
    <x v="4"/>
    <n v="5"/>
    <n v="0.1"/>
    <s v="Pending"/>
    <n v="15"/>
    <n v="240"/>
    <n v="1080"/>
    <n v="55.2"/>
    <n v="789"/>
    <s v="East"/>
    <x v="7"/>
  </r>
  <r>
    <s v="ORD0089"/>
    <d v="2025-06-14T00:00:00"/>
    <x v="13"/>
    <s v="PROD006"/>
    <x v="2"/>
    <n v="5"/>
    <n v="0.15"/>
    <s v="Paid"/>
    <n v="20"/>
    <n v="210"/>
    <n v="892.5"/>
    <n v="52.5"/>
    <n v="610"/>
    <s v="West"/>
    <x v="5"/>
  </r>
  <r>
    <s v="ORD0090"/>
    <d v="2025-07-30T00:00:00"/>
    <x v="39"/>
    <s v="PROD010"/>
    <x v="1"/>
    <n v="4"/>
    <n v="0"/>
    <s v="Pending"/>
    <n v="12"/>
    <n v="240"/>
    <n v="960"/>
    <n v="55.2"/>
    <n v="727.2"/>
    <s v="South"/>
    <x v="7"/>
  </r>
  <r>
    <s v="ORD0091"/>
    <d v="2025-01-19T00:00:00"/>
    <x v="23"/>
    <s v="PROD007"/>
    <x v="2"/>
    <n v="4"/>
    <n v="0"/>
    <s v="Paid"/>
    <n v="18"/>
    <n v="160"/>
    <n v="640"/>
    <n v="38.4"/>
    <n v="468.4"/>
    <s v="West"/>
    <x v="6"/>
  </r>
  <r>
    <s v="ORD0092"/>
    <d v="2025-08-22T00:00:00"/>
    <x v="46"/>
    <s v="PROD006"/>
    <x v="1"/>
    <n v="1"/>
    <n v="0.1"/>
    <s v="Paid"/>
    <n v="20"/>
    <n v="210"/>
    <n v="189"/>
    <n v="52.5"/>
    <n v="116.5"/>
    <s v="South"/>
    <x v="5"/>
  </r>
  <r>
    <s v="ORD0093"/>
    <d v="2025-05-16T00:00:00"/>
    <x v="56"/>
    <s v="PROD007"/>
    <x v="0"/>
    <n v="2"/>
    <n v="0"/>
    <s v="Paid"/>
    <n v="18"/>
    <n v="160"/>
    <n v="320"/>
    <n v="38.4"/>
    <n v="225.2"/>
    <s v="West"/>
    <x v="6"/>
  </r>
  <r>
    <s v="ORD0094"/>
    <d v="2025-06-12T00:00:00"/>
    <x v="57"/>
    <s v="PROD002"/>
    <x v="3"/>
    <n v="3"/>
    <n v="0.15"/>
    <s v="Paid"/>
    <n v="18"/>
    <n v="600"/>
    <n v="1530"/>
    <n v="120"/>
    <n v="1152"/>
    <s v="East"/>
    <x v="1"/>
  </r>
  <r>
    <s v="ORD0095"/>
    <d v="2025-05-28T00:00:00"/>
    <x v="8"/>
    <s v="PROD010"/>
    <x v="2"/>
    <n v="1"/>
    <n v="0"/>
    <s v="Paid"/>
    <n v="20"/>
    <n v="240"/>
    <n v="240"/>
    <n v="55.2"/>
    <n v="164.8"/>
    <s v="West"/>
    <x v="7"/>
  </r>
  <r>
    <s v="ORD0096"/>
    <d v="2025-12-22T00:00:00"/>
    <x v="24"/>
    <s v="PROD007"/>
    <x v="0"/>
    <n v="1"/>
    <n v="0"/>
    <s v="Paid"/>
    <n v="8"/>
    <n v="160"/>
    <n v="160"/>
    <n v="38.4"/>
    <n v="113.6"/>
    <s v="West"/>
    <x v="6"/>
  </r>
  <r>
    <s v="ORD0097"/>
    <d v="2025-08-09T00:00:00"/>
    <x v="58"/>
    <s v="PROD006"/>
    <x v="2"/>
    <n v="1"/>
    <n v="0.05"/>
    <s v="Paid"/>
    <n v="10"/>
    <n v="210"/>
    <n v="199.5"/>
    <n v="52.5"/>
    <n v="137"/>
    <s v="North"/>
    <x v="5"/>
  </r>
  <r>
    <s v="ORD0098"/>
    <d v="2025-02-10T00:00:00"/>
    <x v="3"/>
    <s v="PROD007"/>
    <x v="4"/>
    <n v="5"/>
    <n v="0"/>
    <s v="Paid"/>
    <n v="15"/>
    <n v="160"/>
    <n v="800"/>
    <n v="38.4"/>
    <n v="593"/>
    <s v="North"/>
    <x v="6"/>
  </r>
  <r>
    <s v="ORD0099"/>
    <d v="2025-08-25T00:00:00"/>
    <x v="59"/>
    <s v="PROD004"/>
    <x v="0"/>
    <n v="4"/>
    <n v="0.15"/>
    <s v="Paid"/>
    <n v="15"/>
    <n v="180"/>
    <n v="612"/>
    <n v="54"/>
    <n v="381"/>
    <s v="East"/>
    <x v="0"/>
  </r>
  <r>
    <s v="ORD0100"/>
    <d v="2025-03-22T00:00:00"/>
    <x v="37"/>
    <s v="PROD001"/>
    <x v="1"/>
    <n v="4"/>
    <n v="0.05"/>
    <s v="Paid"/>
    <n v="15"/>
    <n v="850"/>
    <n v="3230"/>
    <n v="187"/>
    <n v="2467"/>
    <s v="North"/>
    <x v="3"/>
  </r>
  <r>
    <s v="ORD0101"/>
    <d v="2025-08-22T00:00:00"/>
    <x v="13"/>
    <s v="PROD010"/>
    <x v="0"/>
    <n v="3"/>
    <n v="0.1"/>
    <s v="Paid"/>
    <n v="10"/>
    <n v="240"/>
    <n v="648"/>
    <n v="55.2"/>
    <n v="472.4"/>
    <s v="West"/>
    <x v="7"/>
  </r>
  <r>
    <s v="ORD0102"/>
    <d v="2025-07-03T00:00:00"/>
    <x v="26"/>
    <s v="PROD008"/>
    <x v="4"/>
    <n v="1"/>
    <n v="0"/>
    <s v="Paid"/>
    <n v="12"/>
    <n v="70"/>
    <n v="70"/>
    <n v="22.4"/>
    <n v="35.6"/>
    <s v="West"/>
    <x v="9"/>
  </r>
  <r>
    <s v="ORD0103"/>
    <d v="2025-12-18T00:00:00"/>
    <x v="20"/>
    <s v="PROD001"/>
    <x v="1"/>
    <n v="4"/>
    <n v="0.05"/>
    <s v="Paid"/>
    <n v="18"/>
    <n v="850"/>
    <n v="3230"/>
    <n v="187"/>
    <n v="2464"/>
    <s v="South"/>
    <x v="3"/>
  </r>
  <r>
    <s v="ORD0104"/>
    <d v="2025-04-23T00:00:00"/>
    <x v="43"/>
    <s v="PROD005"/>
    <x v="2"/>
    <n v="2"/>
    <n v="0.15"/>
    <s v="Pending"/>
    <n v="18"/>
    <n v="320"/>
    <n v="544"/>
    <n v="86.4"/>
    <n v="353.2"/>
    <s v="East"/>
    <x v="2"/>
  </r>
  <r>
    <s v="ORD0105"/>
    <d v="2025-08-14T00:00:00"/>
    <x v="37"/>
    <s v="PROD003"/>
    <x v="1"/>
    <n v="1"/>
    <n v="0"/>
    <s v="Paid"/>
    <n v="18"/>
    <n v="90"/>
    <n v="90"/>
    <n v="25.2"/>
    <n v="46.8"/>
    <s v="North"/>
    <x v="8"/>
  </r>
  <r>
    <s v="ORD0106"/>
    <d v="2025-08-01T00:00:00"/>
    <x v="9"/>
    <s v="PROD003"/>
    <x v="2"/>
    <n v="1"/>
    <n v="0.05"/>
    <s v="Paid"/>
    <n v="10"/>
    <n v="90"/>
    <n v="85.5"/>
    <n v="25.2"/>
    <n v="50.3"/>
    <s v="North"/>
    <x v="8"/>
  </r>
  <r>
    <s v="ORD0107"/>
    <d v="2025-05-20T00:00:00"/>
    <x v="60"/>
    <s v="PROD009"/>
    <x v="2"/>
    <n v="3"/>
    <n v="0.15"/>
    <s v="Paid"/>
    <n v="12"/>
    <n v="130"/>
    <n v="331.5"/>
    <n v="33.799999999999997"/>
    <n v="218.10000000000002"/>
    <s v="East"/>
    <x v="4"/>
  </r>
  <r>
    <s v="ORD0108"/>
    <d v="2025-02-08T00:00:00"/>
    <x v="41"/>
    <s v="PROD005"/>
    <x v="2"/>
    <n v="3"/>
    <n v="0"/>
    <s v="Paid"/>
    <n v="10"/>
    <n v="320"/>
    <n v="960"/>
    <n v="86.4"/>
    <n v="690.8"/>
    <s v="West"/>
    <x v="2"/>
  </r>
  <r>
    <s v="ORD0109"/>
    <d v="2025-01-08T00:00:00"/>
    <x v="57"/>
    <s v="PROD009"/>
    <x v="0"/>
    <n v="3"/>
    <n v="0"/>
    <s v="Pending"/>
    <n v="18"/>
    <n v="130"/>
    <n v="390"/>
    <n v="33.799999999999997"/>
    <n v="270.60000000000002"/>
    <s v="East"/>
    <x v="4"/>
  </r>
  <r>
    <s v="ORD0110"/>
    <d v="2025-11-23T00:00:00"/>
    <x v="19"/>
    <s v="PROD008"/>
    <x v="0"/>
    <n v="3"/>
    <n v="0.05"/>
    <s v="Paid"/>
    <n v="8"/>
    <n v="70"/>
    <n v="199.5"/>
    <n v="22.4"/>
    <n v="124.30000000000001"/>
    <s v="West"/>
    <x v="9"/>
  </r>
  <r>
    <s v="ORD0111"/>
    <d v="2025-10-15T00:00:00"/>
    <x v="52"/>
    <s v="PROD008"/>
    <x v="0"/>
    <n v="1"/>
    <n v="0.15"/>
    <s v="Pending"/>
    <n v="18"/>
    <n v="70"/>
    <n v="59.5"/>
    <n v="22.4"/>
    <n v="19.100000000000001"/>
    <s v="North"/>
    <x v="9"/>
  </r>
  <r>
    <s v="ORD0112"/>
    <d v="2025-03-01T00:00:00"/>
    <x v="61"/>
    <s v="PROD002"/>
    <x v="2"/>
    <n v="4"/>
    <n v="0.05"/>
    <s v="Paid"/>
    <n v="8"/>
    <n v="600"/>
    <n v="2280"/>
    <n v="120"/>
    <n v="1792"/>
    <s v="North"/>
    <x v="1"/>
  </r>
  <r>
    <s v="ORD0113"/>
    <d v="2025-10-03T00:00:00"/>
    <x v="8"/>
    <s v="PROD005"/>
    <x v="2"/>
    <n v="4"/>
    <n v="0"/>
    <s v="Paid"/>
    <n v="15"/>
    <n v="320"/>
    <n v="1280"/>
    <n v="86.4"/>
    <n v="919.4"/>
    <s v="West"/>
    <x v="2"/>
  </r>
  <r>
    <s v="ORD0114"/>
    <d v="2025-03-21T00:00:00"/>
    <x v="27"/>
    <s v="PROD006"/>
    <x v="3"/>
    <n v="5"/>
    <n v="0.1"/>
    <s v="Paid"/>
    <n v="20"/>
    <n v="210"/>
    <n v="945"/>
    <n v="52.5"/>
    <n v="662.5"/>
    <s v="North"/>
    <x v="5"/>
  </r>
  <r>
    <s v="ORD0115"/>
    <d v="2025-05-24T00:00:00"/>
    <x v="50"/>
    <s v="PROD008"/>
    <x v="1"/>
    <n v="5"/>
    <n v="0.1"/>
    <s v="Pending"/>
    <n v="20"/>
    <n v="70"/>
    <n v="315"/>
    <n v="22.4"/>
    <n v="183"/>
    <s v="East"/>
    <x v="9"/>
  </r>
  <r>
    <s v="ORD0116"/>
    <d v="2025-07-05T00:00:00"/>
    <x v="2"/>
    <s v="PROD004"/>
    <x v="1"/>
    <n v="4"/>
    <n v="0.1"/>
    <s v="Refunded"/>
    <n v="20"/>
    <n v="180"/>
    <n v="648"/>
    <n v="54"/>
    <n v="412"/>
    <s v="East"/>
    <x v="0"/>
  </r>
  <r>
    <s v="ORD0117"/>
    <d v="2025-04-08T00:00:00"/>
    <x v="2"/>
    <s v="PROD009"/>
    <x v="1"/>
    <n v="3"/>
    <n v="0"/>
    <s v="Paid"/>
    <n v="15"/>
    <n v="130"/>
    <n v="390"/>
    <n v="33.799999999999997"/>
    <n v="273.60000000000002"/>
    <s v="East"/>
    <x v="4"/>
  </r>
  <r>
    <s v="ORD0118"/>
    <d v="2025-06-20T00:00:00"/>
    <x v="24"/>
    <s v="PROD004"/>
    <x v="2"/>
    <n v="5"/>
    <n v="0"/>
    <s v="Paid"/>
    <n v="10"/>
    <n v="180"/>
    <n v="900"/>
    <n v="54"/>
    <n v="620"/>
    <s v="West"/>
    <x v="0"/>
  </r>
  <r>
    <s v="ORD0119"/>
    <d v="2025-04-21T00:00:00"/>
    <x v="21"/>
    <s v="PROD004"/>
    <x v="2"/>
    <n v="1"/>
    <n v="0.15"/>
    <s v="Paid"/>
    <n v="12"/>
    <n v="180"/>
    <n v="153"/>
    <n v="54"/>
    <n v="87"/>
    <s v="West"/>
    <x v="0"/>
  </r>
  <r>
    <s v="ORD0120"/>
    <d v="2025-03-16T00:00:00"/>
    <x v="56"/>
    <s v="PROD010"/>
    <x v="2"/>
    <n v="1"/>
    <n v="0.05"/>
    <s v="Pending"/>
    <n v="18"/>
    <n v="240"/>
    <n v="228"/>
    <n v="55.2"/>
    <n v="154.80000000000001"/>
    <s v="West"/>
    <x v="7"/>
  </r>
  <r>
    <s v="ORD0121"/>
    <d v="2025-07-03T00:00:00"/>
    <x v="37"/>
    <s v="PROD003"/>
    <x v="2"/>
    <n v="1"/>
    <n v="0"/>
    <s v="Paid"/>
    <n v="18"/>
    <n v="90"/>
    <n v="90"/>
    <n v="25.2"/>
    <n v="46.8"/>
    <s v="North"/>
    <x v="8"/>
  </r>
  <r>
    <s v="ORD0122"/>
    <d v="2025-08-04T00:00:00"/>
    <x v="54"/>
    <s v="PROD001"/>
    <x v="4"/>
    <n v="2"/>
    <n v="0.05"/>
    <s v="Paid"/>
    <n v="8"/>
    <n v="850"/>
    <n v="1615"/>
    <n v="187"/>
    <n v="1233"/>
    <s v="West"/>
    <x v="3"/>
  </r>
  <r>
    <s v="ORD0123"/>
    <d v="2025-02-25T00:00:00"/>
    <x v="38"/>
    <s v="PROD008"/>
    <x v="3"/>
    <n v="4"/>
    <n v="0.05"/>
    <s v="Paid"/>
    <n v="18"/>
    <n v="70"/>
    <n v="266"/>
    <n v="22.4"/>
    <n v="158.4"/>
    <s v="East"/>
    <x v="9"/>
  </r>
  <r>
    <s v="ORD0124"/>
    <d v="2025-11-26T00:00:00"/>
    <x v="61"/>
    <s v="PROD010"/>
    <x v="1"/>
    <n v="1"/>
    <n v="0.15"/>
    <s v="Paid"/>
    <n v="8"/>
    <n v="240"/>
    <n v="204"/>
    <n v="55.2"/>
    <n v="140.80000000000001"/>
    <s v="North"/>
    <x v="7"/>
  </r>
  <r>
    <s v="ORD0125"/>
    <d v="2025-08-16T00:00:00"/>
    <x v="41"/>
    <s v="PROD007"/>
    <x v="1"/>
    <n v="4"/>
    <n v="0"/>
    <s v="Paid"/>
    <n v="8"/>
    <n v="160"/>
    <n v="640"/>
    <n v="38.4"/>
    <n v="478.4"/>
    <s v="West"/>
    <x v="6"/>
  </r>
  <r>
    <s v="ORD0126"/>
    <d v="2025-11-16T00:00:00"/>
    <x v="54"/>
    <s v="PROD010"/>
    <x v="4"/>
    <n v="2"/>
    <n v="0"/>
    <s v="Paid"/>
    <n v="18"/>
    <n v="240"/>
    <n v="480"/>
    <n v="55.2"/>
    <n v="351.6"/>
    <s v="West"/>
    <x v="7"/>
  </r>
  <r>
    <s v="ORD0127"/>
    <d v="2025-09-16T00:00:00"/>
    <x v="54"/>
    <s v="PROD007"/>
    <x v="4"/>
    <n v="5"/>
    <n v="0.15"/>
    <s v="Paid"/>
    <n v="15"/>
    <n v="160"/>
    <n v="680"/>
    <n v="38.4"/>
    <n v="473"/>
    <s v="West"/>
    <x v="6"/>
  </r>
  <r>
    <s v="ORD0128"/>
    <d v="2025-04-27T00:00:00"/>
    <x v="50"/>
    <s v="PROD002"/>
    <x v="3"/>
    <n v="5"/>
    <n v="0"/>
    <s v="Paid"/>
    <n v="12"/>
    <n v="600"/>
    <n v="3000"/>
    <n v="120"/>
    <n v="2388"/>
    <s v="East"/>
    <x v="1"/>
  </r>
  <r>
    <s v="ORD0129"/>
    <d v="2025-06-10T00:00:00"/>
    <x v="27"/>
    <s v="PROD007"/>
    <x v="0"/>
    <n v="4"/>
    <n v="0"/>
    <s v="Paid"/>
    <n v="12"/>
    <n v="160"/>
    <n v="640"/>
    <n v="38.4"/>
    <n v="474.4"/>
    <s v="North"/>
    <x v="6"/>
  </r>
  <r>
    <s v="ORD0130"/>
    <d v="2025-02-17T00:00:00"/>
    <x v="31"/>
    <s v="PROD008"/>
    <x v="3"/>
    <n v="1"/>
    <n v="0"/>
    <s v="Pending"/>
    <n v="8"/>
    <n v="70"/>
    <n v="70"/>
    <n v="22.4"/>
    <n v="39.6"/>
    <s v="South"/>
    <x v="9"/>
  </r>
  <r>
    <s v="ORD0131"/>
    <d v="2025-10-15T00:00:00"/>
    <x v="2"/>
    <s v="PROD003"/>
    <x v="4"/>
    <n v="5"/>
    <n v="0"/>
    <s v="Paid"/>
    <n v="12"/>
    <n v="90"/>
    <n v="450"/>
    <n v="25.2"/>
    <n v="312"/>
    <s v="East"/>
    <x v="8"/>
  </r>
  <r>
    <s v="ORD0132"/>
    <d v="2025-01-27T00:00:00"/>
    <x v="19"/>
    <s v="PROD007"/>
    <x v="0"/>
    <n v="3"/>
    <n v="0.1"/>
    <s v="Pending"/>
    <n v="18"/>
    <n v="160"/>
    <n v="432"/>
    <n v="38.4"/>
    <n v="298.8"/>
    <s v="West"/>
    <x v="6"/>
  </r>
  <r>
    <s v="ORD0133"/>
    <d v="2025-03-21T00:00:00"/>
    <x v="62"/>
    <s v="PROD006"/>
    <x v="3"/>
    <n v="1"/>
    <n v="0.15"/>
    <s v="Paid"/>
    <n v="10"/>
    <n v="210"/>
    <n v="178.5"/>
    <n v="52.5"/>
    <n v="116"/>
    <s v="South"/>
    <x v="5"/>
  </r>
  <r>
    <s v="ORD0134"/>
    <d v="2025-05-23T00:00:00"/>
    <x v="40"/>
    <s v="PROD006"/>
    <x v="4"/>
    <n v="5"/>
    <n v="0.05"/>
    <s v="Paid"/>
    <n v="10"/>
    <n v="210"/>
    <n v="997.5"/>
    <n v="52.5"/>
    <n v="725"/>
    <s v="South"/>
    <x v="5"/>
  </r>
  <r>
    <s v="ORD0135"/>
    <d v="2025-10-13T00:00:00"/>
    <x v="6"/>
    <s v="PROD009"/>
    <x v="1"/>
    <n v="5"/>
    <n v="0.15"/>
    <s v="Paid"/>
    <n v="18"/>
    <n v="130"/>
    <n v="552.5"/>
    <n v="33.799999999999997"/>
    <n v="365.5"/>
    <s v="West"/>
    <x v="4"/>
  </r>
  <r>
    <s v="ORD0136"/>
    <d v="2025-06-08T00:00:00"/>
    <x v="63"/>
    <s v="PROD001"/>
    <x v="0"/>
    <n v="2"/>
    <n v="0.05"/>
    <s v="Paid"/>
    <n v="12"/>
    <n v="850"/>
    <n v="1615"/>
    <n v="187"/>
    <n v="1229"/>
    <s v="West"/>
    <x v="3"/>
  </r>
  <r>
    <s v="ORD0137"/>
    <d v="2025-02-05T00:00:00"/>
    <x v="64"/>
    <s v="PROD003"/>
    <x v="2"/>
    <n v="2"/>
    <n v="0.15"/>
    <s v="Paid"/>
    <n v="20"/>
    <n v="90"/>
    <n v="153"/>
    <n v="25.2"/>
    <n v="82.6"/>
    <s v="West"/>
    <x v="8"/>
  </r>
  <r>
    <s v="ORD0138"/>
    <d v="2025-08-21T00:00:00"/>
    <x v="15"/>
    <s v="PROD002"/>
    <x v="0"/>
    <n v="5"/>
    <n v="0"/>
    <s v="Paid"/>
    <n v="10"/>
    <n v="600"/>
    <n v="3000"/>
    <n v="120"/>
    <n v="2390"/>
    <s v="West"/>
    <x v="1"/>
  </r>
  <r>
    <s v="ORD0139"/>
    <d v="2025-01-27T00:00:00"/>
    <x v="2"/>
    <s v="PROD005"/>
    <x v="2"/>
    <n v="3"/>
    <n v="0.15"/>
    <s v="Paid"/>
    <n v="10"/>
    <n v="320"/>
    <n v="816"/>
    <n v="86.4"/>
    <n v="546.79999999999995"/>
    <s v="East"/>
    <x v="2"/>
  </r>
  <r>
    <s v="ORD0140"/>
    <d v="2025-08-06T00:00:00"/>
    <x v="59"/>
    <s v="PROD001"/>
    <x v="3"/>
    <n v="1"/>
    <n v="0.05"/>
    <s v="Paid"/>
    <n v="18"/>
    <n v="850"/>
    <n v="807.5"/>
    <n v="187"/>
    <n v="602.5"/>
    <s v="East"/>
    <x v="3"/>
  </r>
  <r>
    <s v="ORD0141"/>
    <d v="2025-02-28T00:00:00"/>
    <x v="7"/>
    <s v="PROD007"/>
    <x v="0"/>
    <n v="3"/>
    <n v="0"/>
    <s v="Paid"/>
    <n v="15"/>
    <n v="160"/>
    <n v="480"/>
    <n v="38.4"/>
    <n v="349.8"/>
    <s v="North"/>
    <x v="6"/>
  </r>
  <r>
    <s v="ORD0142"/>
    <d v="2025-06-07T00:00:00"/>
    <x v="4"/>
    <s v="PROD005"/>
    <x v="1"/>
    <n v="5"/>
    <n v="0.1"/>
    <s v="Paid"/>
    <n v="10"/>
    <n v="320"/>
    <n v="1440"/>
    <n v="86.4"/>
    <n v="998"/>
    <s v="South"/>
    <x v="2"/>
  </r>
  <r>
    <s v="ORD0143"/>
    <d v="2025-04-19T00:00:00"/>
    <x v="57"/>
    <s v="PROD010"/>
    <x v="2"/>
    <n v="1"/>
    <n v="0"/>
    <s v="Paid"/>
    <n v="12"/>
    <n v="240"/>
    <n v="240"/>
    <n v="55.2"/>
    <n v="172.8"/>
    <s v="East"/>
    <x v="7"/>
  </r>
  <r>
    <s v="ORD0144"/>
    <d v="2025-08-09T00:00:00"/>
    <x v="20"/>
    <s v="PROD006"/>
    <x v="2"/>
    <n v="1"/>
    <n v="0"/>
    <s v="Paid"/>
    <n v="10"/>
    <n v="210"/>
    <n v="210"/>
    <n v="52.5"/>
    <n v="147.5"/>
    <s v="South"/>
    <x v="5"/>
  </r>
  <r>
    <s v="ORD0145"/>
    <d v="2025-12-09T00:00:00"/>
    <x v="36"/>
    <s v="PROD009"/>
    <x v="0"/>
    <n v="2"/>
    <n v="0.15"/>
    <s v="Paid"/>
    <n v="8"/>
    <n v="130"/>
    <n v="221"/>
    <n v="33.799999999999997"/>
    <n v="145.4"/>
    <s v="East"/>
    <x v="4"/>
  </r>
  <r>
    <s v="ORD0146"/>
    <d v="2025-02-09T00:00:00"/>
    <x v="57"/>
    <s v="PROD001"/>
    <x v="0"/>
    <n v="4"/>
    <n v="0"/>
    <s v="Paid"/>
    <n v="18"/>
    <n v="850"/>
    <n v="3400"/>
    <n v="187"/>
    <n v="2634"/>
    <s v="East"/>
    <x v="3"/>
  </r>
  <r>
    <s v="ORD0147"/>
    <d v="2025-07-27T00:00:00"/>
    <x v="6"/>
    <s v="PROD010"/>
    <x v="1"/>
    <n v="4"/>
    <n v="0.1"/>
    <s v="Paid"/>
    <n v="12"/>
    <n v="240"/>
    <n v="864"/>
    <n v="55.2"/>
    <n v="631.20000000000005"/>
    <s v="West"/>
    <x v="7"/>
  </r>
  <r>
    <s v="ORD0148"/>
    <d v="2025-02-24T00:00:00"/>
    <x v="35"/>
    <s v="PROD010"/>
    <x v="2"/>
    <n v="4"/>
    <n v="0.05"/>
    <s v="Paid"/>
    <n v="15"/>
    <n v="240"/>
    <n v="912"/>
    <n v="55.2"/>
    <n v="676.2"/>
    <s v="South"/>
    <x v="7"/>
  </r>
  <r>
    <s v="ORD0149"/>
    <d v="2025-06-08T00:00:00"/>
    <x v="46"/>
    <s v="PROD007"/>
    <x v="0"/>
    <n v="5"/>
    <n v="0"/>
    <s v="Paid"/>
    <n v="10"/>
    <n v="160"/>
    <n v="800"/>
    <n v="38.4"/>
    <n v="598"/>
    <s v="South"/>
    <x v="6"/>
  </r>
  <r>
    <s v="ORD0150"/>
    <d v="2025-09-29T00:00:00"/>
    <x v="32"/>
    <s v="PROD003"/>
    <x v="4"/>
    <n v="1"/>
    <n v="0.15"/>
    <s v="Paid"/>
    <n v="10"/>
    <n v="90"/>
    <n v="76.5"/>
    <n v="25.2"/>
    <n v="41.3"/>
    <s v="South"/>
    <x v="8"/>
  </r>
  <r>
    <s v="ORD0151"/>
    <d v="2025-05-12T00:00:00"/>
    <x v="13"/>
    <s v="PROD006"/>
    <x v="2"/>
    <n v="2"/>
    <n v="0"/>
    <s v="Paid"/>
    <n v="10"/>
    <n v="210"/>
    <n v="420"/>
    <n v="52.5"/>
    <n v="305"/>
    <s v="West"/>
    <x v="5"/>
  </r>
  <r>
    <s v="ORD0152"/>
    <d v="2025-11-18T00:00:00"/>
    <x v="48"/>
    <s v="PROD003"/>
    <x v="3"/>
    <n v="1"/>
    <n v="0"/>
    <s v="Refunded"/>
    <n v="15"/>
    <n v="90"/>
    <n v="90"/>
    <n v="25.2"/>
    <n v="49.8"/>
    <s v="South"/>
    <x v="8"/>
  </r>
  <r>
    <s v="ORD0153"/>
    <d v="2025-11-16T00:00:00"/>
    <x v="21"/>
    <s v="PROD010"/>
    <x v="0"/>
    <n v="4"/>
    <n v="0.15"/>
    <s v="Paid"/>
    <n v="20"/>
    <n v="240"/>
    <n v="816"/>
    <n v="55.2"/>
    <n v="575.20000000000005"/>
    <s v="West"/>
    <x v="7"/>
  </r>
  <r>
    <s v="ORD0154"/>
    <d v="2025-11-20T00:00:00"/>
    <x v="0"/>
    <s v="PROD003"/>
    <x v="0"/>
    <n v="4"/>
    <n v="0"/>
    <s v="Paid"/>
    <n v="12"/>
    <n v="90"/>
    <n v="360"/>
    <n v="25.2"/>
    <n v="247.2"/>
    <s v="West"/>
    <x v="8"/>
  </r>
  <r>
    <s v="ORD0155"/>
    <d v="2025-08-25T00:00:00"/>
    <x v="46"/>
    <s v="PROD001"/>
    <x v="3"/>
    <n v="3"/>
    <n v="0.15"/>
    <s v="Paid"/>
    <n v="8"/>
    <n v="850"/>
    <n v="2167.5"/>
    <n v="187"/>
    <n v="1598.5"/>
    <s v="South"/>
    <x v="3"/>
  </r>
  <r>
    <s v="ORD0156"/>
    <d v="2025-02-16T00:00:00"/>
    <x v="65"/>
    <s v="PROD006"/>
    <x v="4"/>
    <n v="3"/>
    <n v="0"/>
    <s v="Paid"/>
    <n v="18"/>
    <n v="210"/>
    <n v="630"/>
    <n v="52.5"/>
    <n v="454.5"/>
    <s v="East"/>
    <x v="5"/>
  </r>
  <r>
    <s v="ORD0157"/>
    <d v="2025-01-22T00:00:00"/>
    <x v="53"/>
    <s v="PROD007"/>
    <x v="3"/>
    <n v="4"/>
    <n v="0.15"/>
    <s v="Paid"/>
    <n v="18"/>
    <n v="160"/>
    <n v="544"/>
    <n v="38.4"/>
    <n v="372.4"/>
    <s v="North"/>
    <x v="6"/>
  </r>
  <r>
    <s v="ORD0158"/>
    <d v="2025-02-01T00:00:00"/>
    <x v="66"/>
    <s v="PROD006"/>
    <x v="3"/>
    <n v="5"/>
    <n v="0.1"/>
    <s v="Paid"/>
    <n v="8"/>
    <n v="210"/>
    <n v="945"/>
    <n v="52.5"/>
    <n v="674.5"/>
    <s v="East"/>
    <x v="5"/>
  </r>
  <r>
    <s v="ORD0159"/>
    <d v="2025-12-29T00:00:00"/>
    <x v="5"/>
    <s v="PROD002"/>
    <x v="3"/>
    <n v="5"/>
    <n v="0"/>
    <s v="Paid"/>
    <n v="15"/>
    <n v="600"/>
    <n v="3000"/>
    <n v="120"/>
    <n v="2385"/>
    <s v="West"/>
    <x v="1"/>
  </r>
  <r>
    <s v="ORD0160"/>
    <d v="2025-05-25T00:00:00"/>
    <x v="3"/>
    <s v="PROD009"/>
    <x v="3"/>
    <n v="5"/>
    <n v="0"/>
    <s v="Paid"/>
    <n v="15"/>
    <n v="130"/>
    <n v="650"/>
    <n v="33.799999999999997"/>
    <n v="466"/>
    <s v="North"/>
    <x v="4"/>
  </r>
  <r>
    <s v="ORD0161"/>
    <d v="2025-02-18T00:00:00"/>
    <x v="5"/>
    <s v="PROD010"/>
    <x v="4"/>
    <n v="1"/>
    <n v="0.05"/>
    <s v="Paid"/>
    <n v="20"/>
    <n v="240"/>
    <n v="228"/>
    <n v="55.2"/>
    <n v="152.80000000000001"/>
    <s v="West"/>
    <x v="7"/>
  </r>
  <r>
    <s v="ORD0162"/>
    <d v="2025-06-20T00:00:00"/>
    <x v="26"/>
    <s v="PROD005"/>
    <x v="1"/>
    <n v="3"/>
    <n v="0.15"/>
    <s v="Pending"/>
    <n v="18"/>
    <n v="320"/>
    <n v="816"/>
    <n v="86.4"/>
    <n v="538.79999999999995"/>
    <s v="West"/>
    <x v="2"/>
  </r>
  <r>
    <s v="ORD0163"/>
    <d v="2025-12-29T00:00:00"/>
    <x v="56"/>
    <s v="PROD006"/>
    <x v="1"/>
    <n v="3"/>
    <n v="0.1"/>
    <s v="Paid"/>
    <n v="12"/>
    <n v="210"/>
    <n v="567"/>
    <n v="52.5"/>
    <n v="397.5"/>
    <s v="West"/>
    <x v="5"/>
  </r>
  <r>
    <s v="ORD0164"/>
    <d v="2025-12-17T00:00:00"/>
    <x v="10"/>
    <s v="PROD007"/>
    <x v="4"/>
    <n v="3"/>
    <n v="0"/>
    <s v="Paid"/>
    <n v="8"/>
    <n v="160"/>
    <n v="480"/>
    <n v="38.4"/>
    <n v="356.8"/>
    <s v="South"/>
    <x v="6"/>
  </r>
  <r>
    <s v="ORD0165"/>
    <d v="2025-04-03T00:00:00"/>
    <x v="6"/>
    <s v="PROD009"/>
    <x v="2"/>
    <n v="3"/>
    <n v="0"/>
    <s v="Paid"/>
    <n v="12"/>
    <n v="130"/>
    <n v="390"/>
    <n v="33.799999999999997"/>
    <n v="276.60000000000002"/>
    <s v="West"/>
    <x v="4"/>
  </r>
  <r>
    <s v="ORD0166"/>
    <d v="2025-06-01T00:00:00"/>
    <x v="67"/>
    <s v="PROD004"/>
    <x v="1"/>
    <n v="2"/>
    <n v="0"/>
    <s v="Paid"/>
    <n v="18"/>
    <n v="180"/>
    <n v="360"/>
    <n v="54"/>
    <n v="234"/>
    <s v="North"/>
    <x v="0"/>
  </r>
  <r>
    <s v="ORD0167"/>
    <d v="2025-11-13T00:00:00"/>
    <x v="68"/>
    <s v="PROD009"/>
    <x v="2"/>
    <n v="1"/>
    <n v="0.05"/>
    <s v="Pending"/>
    <n v="18"/>
    <n v="130"/>
    <n v="123.5"/>
    <n v="33.799999999999997"/>
    <n v="71.7"/>
    <s v="East"/>
    <x v="4"/>
  </r>
  <r>
    <s v="ORD0168"/>
    <d v="2025-11-16T00:00:00"/>
    <x v="36"/>
    <s v="PROD003"/>
    <x v="2"/>
    <n v="2"/>
    <n v="0"/>
    <s v="Pending"/>
    <n v="20"/>
    <n v="90"/>
    <n v="180"/>
    <n v="25.2"/>
    <n v="109.6"/>
    <s v="East"/>
    <x v="8"/>
  </r>
  <r>
    <s v="ORD0169"/>
    <d v="2025-05-02T00:00:00"/>
    <x v="7"/>
    <s v="PROD001"/>
    <x v="3"/>
    <n v="4"/>
    <n v="0.05"/>
    <s v="Paid"/>
    <n v="18"/>
    <n v="850"/>
    <n v="3230"/>
    <n v="187"/>
    <n v="2464"/>
    <s v="North"/>
    <x v="3"/>
  </r>
  <r>
    <s v="ORD0170"/>
    <d v="2025-08-29T00:00:00"/>
    <x v="69"/>
    <s v="PROD008"/>
    <x v="2"/>
    <n v="2"/>
    <n v="0.15"/>
    <s v="Paid"/>
    <n v="12"/>
    <n v="70"/>
    <n v="119"/>
    <n v="22.4"/>
    <n v="62.2"/>
    <s v="South"/>
    <x v="9"/>
  </r>
  <r>
    <s v="ORD0171"/>
    <d v="2025-09-15T00:00:00"/>
    <x v="17"/>
    <s v="PROD008"/>
    <x v="4"/>
    <n v="4"/>
    <n v="0.05"/>
    <s v="Paid"/>
    <n v="15"/>
    <n v="70"/>
    <n v="266"/>
    <n v="22.4"/>
    <n v="161.4"/>
    <s v="West"/>
    <x v="9"/>
  </r>
  <r>
    <s v="ORD0172"/>
    <d v="2025-01-27T00:00:00"/>
    <x v="12"/>
    <s v="PROD004"/>
    <x v="3"/>
    <n v="5"/>
    <n v="0"/>
    <s v="Pending"/>
    <n v="12"/>
    <n v="180"/>
    <n v="900"/>
    <n v="54"/>
    <n v="618"/>
    <s v="East"/>
    <x v="0"/>
  </r>
  <r>
    <s v="ORD0173"/>
    <d v="2025-03-24T00:00:00"/>
    <x v="51"/>
    <s v="PROD002"/>
    <x v="0"/>
    <n v="5"/>
    <n v="0"/>
    <s v="Paid"/>
    <n v="15"/>
    <n v="600"/>
    <n v="3000"/>
    <n v="120"/>
    <n v="2385"/>
    <s v="North"/>
    <x v="1"/>
  </r>
  <r>
    <s v="ORD0174"/>
    <d v="2025-04-24T00:00:00"/>
    <x v="70"/>
    <s v="PROD003"/>
    <x v="3"/>
    <n v="4"/>
    <n v="0"/>
    <s v="Refunded"/>
    <n v="12"/>
    <n v="90"/>
    <n v="360"/>
    <n v="25.2"/>
    <n v="247.2"/>
    <s v="West"/>
    <x v="8"/>
  </r>
  <r>
    <s v="ORD0175"/>
    <d v="2025-05-01T00:00:00"/>
    <x v="15"/>
    <s v="PROD007"/>
    <x v="3"/>
    <n v="1"/>
    <n v="0.1"/>
    <s v="Paid"/>
    <n v="8"/>
    <n v="160"/>
    <n v="144"/>
    <n v="38.4"/>
    <n v="97.6"/>
    <s v="West"/>
    <x v="6"/>
  </r>
  <r>
    <s v="ORD0176"/>
    <d v="2025-11-29T00:00:00"/>
    <x v="2"/>
    <s v="PROD004"/>
    <x v="0"/>
    <n v="1"/>
    <n v="0.05"/>
    <s v="Pending"/>
    <n v="10"/>
    <n v="180"/>
    <n v="171"/>
    <n v="54"/>
    <n v="107"/>
    <s v="East"/>
    <x v="0"/>
  </r>
  <r>
    <s v="ORD0177"/>
    <d v="2025-03-13T00:00:00"/>
    <x v="71"/>
    <s v="PROD001"/>
    <x v="3"/>
    <n v="3"/>
    <n v="0.1"/>
    <s v="Paid"/>
    <n v="15"/>
    <n v="850"/>
    <n v="2295"/>
    <n v="187"/>
    <n v="1719"/>
    <s v="South"/>
    <x v="3"/>
  </r>
  <r>
    <s v="ORD0178"/>
    <d v="2025-03-18T00:00:00"/>
    <x v="28"/>
    <s v="PROD001"/>
    <x v="4"/>
    <n v="1"/>
    <n v="0"/>
    <s v="Paid"/>
    <n v="20"/>
    <n v="850"/>
    <n v="850"/>
    <n v="187"/>
    <n v="643"/>
    <s v="West"/>
    <x v="3"/>
  </r>
  <r>
    <s v="ORD0179"/>
    <d v="2025-05-02T00:00:00"/>
    <x v="48"/>
    <s v="PROD009"/>
    <x v="0"/>
    <n v="4"/>
    <n v="0"/>
    <s v="Paid"/>
    <n v="8"/>
    <n v="130"/>
    <n v="520"/>
    <n v="33.799999999999997"/>
    <n v="376.8"/>
    <s v="South"/>
    <x v="4"/>
  </r>
  <r>
    <s v="ORD0180"/>
    <d v="2025-02-26T00:00:00"/>
    <x v="47"/>
    <s v="PROD004"/>
    <x v="3"/>
    <n v="4"/>
    <n v="0.15"/>
    <s v="Paid"/>
    <n v="18"/>
    <n v="180"/>
    <n v="612"/>
    <n v="54"/>
    <n v="378"/>
    <s v="East"/>
    <x v="0"/>
  </r>
  <r>
    <s v="ORD0181"/>
    <d v="2025-03-15T00:00:00"/>
    <x v="1"/>
    <s v="PROD001"/>
    <x v="0"/>
    <n v="5"/>
    <n v="0.15"/>
    <s v="Paid"/>
    <n v="15"/>
    <n v="850"/>
    <n v="3612.5"/>
    <n v="187"/>
    <n v="2662.5"/>
    <s v="West"/>
    <x v="3"/>
  </r>
  <r>
    <s v="ORD0182"/>
    <d v="2025-04-06T00:00:00"/>
    <x v="64"/>
    <s v="PROD010"/>
    <x v="1"/>
    <n v="3"/>
    <n v="0"/>
    <s v="Paid"/>
    <n v="18"/>
    <n v="240"/>
    <n v="720"/>
    <n v="55.2"/>
    <n v="536.4"/>
    <s v="West"/>
    <x v="7"/>
  </r>
  <r>
    <s v="ORD0183"/>
    <d v="2025-09-17T00:00:00"/>
    <x v="9"/>
    <s v="PROD002"/>
    <x v="4"/>
    <n v="5"/>
    <n v="0.15"/>
    <s v="Paid"/>
    <n v="8"/>
    <n v="600"/>
    <n v="2550"/>
    <n v="120"/>
    <n v="1942"/>
    <s v="North"/>
    <x v="1"/>
  </r>
  <r>
    <s v="ORD0184"/>
    <d v="2025-05-10T00:00:00"/>
    <x v="26"/>
    <s v="PROD008"/>
    <x v="1"/>
    <n v="1"/>
    <n v="0.1"/>
    <s v="Refunded"/>
    <n v="12"/>
    <n v="70"/>
    <n v="63"/>
    <n v="22.4"/>
    <n v="28.6"/>
    <s v="West"/>
    <x v="9"/>
  </r>
  <r>
    <s v="ORD0185"/>
    <d v="2025-06-20T00:00:00"/>
    <x v="38"/>
    <s v="PROD006"/>
    <x v="2"/>
    <n v="2"/>
    <n v="0"/>
    <s v="Paid"/>
    <n v="8"/>
    <n v="210"/>
    <n v="420"/>
    <n v="52.5"/>
    <n v="307"/>
    <s v="East"/>
    <x v="5"/>
  </r>
  <r>
    <s v="ORD0186"/>
    <d v="2025-12-17T00:00:00"/>
    <x v="45"/>
    <s v="PROD009"/>
    <x v="3"/>
    <n v="3"/>
    <n v="0"/>
    <s v="Pending"/>
    <n v="20"/>
    <n v="130"/>
    <n v="390"/>
    <n v="33.799999999999997"/>
    <n v="268.60000000000002"/>
    <s v="North"/>
    <x v="4"/>
  </r>
  <r>
    <s v="ORD0187"/>
    <d v="2025-08-23T00:00:00"/>
    <x v="41"/>
    <s v="PROD003"/>
    <x v="1"/>
    <n v="2"/>
    <n v="0"/>
    <s v="Paid"/>
    <n v="12"/>
    <n v="90"/>
    <n v="180"/>
    <n v="25.2"/>
    <n v="117.6"/>
    <s v="West"/>
    <x v="8"/>
  </r>
  <r>
    <s v="ORD0188"/>
    <d v="2025-06-08T00:00:00"/>
    <x v="18"/>
    <s v="PROD001"/>
    <x v="4"/>
    <n v="2"/>
    <n v="0"/>
    <s v="Paid"/>
    <n v="15"/>
    <n v="850"/>
    <n v="1700"/>
    <n v="187"/>
    <n v="1311"/>
    <s v="North"/>
    <x v="3"/>
  </r>
  <r>
    <s v="ORD0189"/>
    <d v="2025-04-08T00:00:00"/>
    <x v="68"/>
    <s v="PROD008"/>
    <x v="0"/>
    <n v="3"/>
    <n v="0"/>
    <s v="Paid"/>
    <n v="12"/>
    <n v="70"/>
    <n v="210"/>
    <n v="22.4"/>
    <n v="130.80000000000001"/>
    <s v="East"/>
    <x v="9"/>
  </r>
  <r>
    <s v="ORD0190"/>
    <d v="2025-08-12T00:00:00"/>
    <x v="47"/>
    <s v="PROD006"/>
    <x v="3"/>
    <n v="3"/>
    <n v="0"/>
    <s v="Pending"/>
    <n v="20"/>
    <n v="210"/>
    <n v="630"/>
    <n v="52.5"/>
    <n v="452.5"/>
    <s v="East"/>
    <x v="5"/>
  </r>
  <r>
    <s v="ORD0191"/>
    <d v="2025-09-12T00:00:00"/>
    <x v="7"/>
    <s v="PROD007"/>
    <x v="0"/>
    <n v="3"/>
    <n v="0"/>
    <s v="Paid"/>
    <n v="18"/>
    <n v="160"/>
    <n v="480"/>
    <n v="38.4"/>
    <n v="346.8"/>
    <s v="North"/>
    <x v="6"/>
  </r>
  <r>
    <s v="ORD0192"/>
    <d v="2025-04-03T00:00:00"/>
    <x v="63"/>
    <s v="PROD002"/>
    <x v="4"/>
    <n v="4"/>
    <n v="0"/>
    <s v="Paid"/>
    <n v="12"/>
    <n v="600"/>
    <n v="2400"/>
    <n v="120"/>
    <n v="1908"/>
    <s v="West"/>
    <x v="1"/>
  </r>
  <r>
    <s v="ORD0193"/>
    <d v="2025-06-06T00:00:00"/>
    <x v="54"/>
    <s v="PROD002"/>
    <x v="3"/>
    <n v="1"/>
    <n v="0.05"/>
    <s v="Paid"/>
    <n v="18"/>
    <n v="600"/>
    <n v="570"/>
    <n v="120"/>
    <n v="432"/>
    <s v="West"/>
    <x v="1"/>
  </r>
  <r>
    <s v="ORD0194"/>
    <d v="2025-06-30T00:00:00"/>
    <x v="6"/>
    <s v="PROD003"/>
    <x v="4"/>
    <n v="4"/>
    <n v="0.05"/>
    <s v="Paid"/>
    <n v="15"/>
    <n v="90"/>
    <n v="342"/>
    <n v="25.2"/>
    <n v="226.2"/>
    <s v="West"/>
    <x v="8"/>
  </r>
  <r>
    <s v="ORD0195"/>
    <d v="2025-12-14T00:00:00"/>
    <x v="14"/>
    <s v="PROD001"/>
    <x v="2"/>
    <n v="1"/>
    <n v="0.1"/>
    <s v="Paid"/>
    <n v="8"/>
    <n v="850"/>
    <n v="765"/>
    <n v="187"/>
    <n v="570"/>
    <s v="East"/>
    <x v="3"/>
  </r>
  <r>
    <s v="ORD0196"/>
    <d v="2025-05-01T00:00:00"/>
    <x v="56"/>
    <s v="PROD010"/>
    <x v="0"/>
    <n v="4"/>
    <n v="0"/>
    <s v="Paid"/>
    <n v="12"/>
    <n v="240"/>
    <n v="960"/>
    <n v="55.2"/>
    <n v="727.2"/>
    <s v="West"/>
    <x v="7"/>
  </r>
  <r>
    <s v="ORD0197"/>
    <d v="2025-08-19T00:00:00"/>
    <x v="26"/>
    <s v="PROD010"/>
    <x v="0"/>
    <n v="1"/>
    <n v="0.15"/>
    <s v="Paid"/>
    <n v="12"/>
    <n v="240"/>
    <n v="204"/>
    <n v="55.2"/>
    <n v="136.80000000000001"/>
    <s v="West"/>
    <x v="7"/>
  </r>
  <r>
    <s v="ORD0198"/>
    <d v="2025-07-23T00:00:00"/>
    <x v="7"/>
    <s v="PROD002"/>
    <x v="0"/>
    <n v="5"/>
    <n v="0"/>
    <s v="Paid"/>
    <n v="20"/>
    <n v="600"/>
    <n v="3000"/>
    <n v="120"/>
    <n v="2380"/>
    <s v="North"/>
    <x v="1"/>
  </r>
  <r>
    <s v="ORD0199"/>
    <d v="2025-09-13T00:00:00"/>
    <x v="14"/>
    <s v="PROD004"/>
    <x v="4"/>
    <n v="1"/>
    <n v="0"/>
    <s v="Paid"/>
    <n v="15"/>
    <n v="180"/>
    <n v="180"/>
    <n v="54"/>
    <n v="111"/>
    <s v="East"/>
    <x v="0"/>
  </r>
  <r>
    <s v="ORD0200"/>
    <d v="2025-04-20T00:00:00"/>
    <x v="10"/>
    <s v="PROD002"/>
    <x v="4"/>
    <n v="3"/>
    <n v="0.05"/>
    <s v="Paid"/>
    <n v="12"/>
    <n v="600"/>
    <n v="1710"/>
    <n v="120"/>
    <n v="1338"/>
    <s v="South"/>
    <x v="1"/>
  </r>
  <r>
    <s v="ORD0201"/>
    <d v="2025-08-20T00:00:00"/>
    <x v="67"/>
    <s v="PROD004"/>
    <x v="2"/>
    <n v="1"/>
    <n v="0"/>
    <s v="Pending"/>
    <n v="20"/>
    <n v="180"/>
    <n v="180"/>
    <n v="54"/>
    <n v="106"/>
    <s v="North"/>
    <x v="0"/>
  </r>
  <r>
    <s v="ORD0202"/>
    <d v="2025-10-09T00:00:00"/>
    <x v="7"/>
    <s v="PROD002"/>
    <x v="4"/>
    <n v="3"/>
    <n v="0.05"/>
    <s v="Paid"/>
    <n v="12"/>
    <n v="600"/>
    <n v="1710"/>
    <n v="120"/>
    <n v="1338"/>
    <s v="North"/>
    <x v="1"/>
  </r>
  <r>
    <s v="ORD0203"/>
    <d v="2025-03-04T00:00:00"/>
    <x v="49"/>
    <s v="PROD003"/>
    <x v="2"/>
    <n v="2"/>
    <n v="0.05"/>
    <s v="Paid"/>
    <n v="10"/>
    <n v="90"/>
    <n v="171"/>
    <n v="25.2"/>
    <n v="110.6"/>
    <s v="East"/>
    <x v="8"/>
  </r>
  <r>
    <s v="ORD0204"/>
    <d v="2025-07-08T00:00:00"/>
    <x v="39"/>
    <s v="PROD008"/>
    <x v="3"/>
    <n v="1"/>
    <n v="0.05"/>
    <s v="Paid"/>
    <n v="18"/>
    <n v="70"/>
    <n v="66.5"/>
    <n v="22.4"/>
    <n v="26.1"/>
    <s v="South"/>
    <x v="9"/>
  </r>
  <r>
    <s v="ORD0205"/>
    <d v="2025-09-03T00:00:00"/>
    <x v="60"/>
    <s v="PROD010"/>
    <x v="4"/>
    <n v="1"/>
    <n v="0"/>
    <s v="Paid "/>
    <n v="15"/>
    <n v="240"/>
    <n v="240"/>
    <n v="55.2"/>
    <n v="169.8"/>
    <s v="East"/>
    <x v="7"/>
  </r>
  <r>
    <s v="ORD0206"/>
    <d v="2025-11-25T00:00:00"/>
    <x v="11"/>
    <s v="PROD010"/>
    <x v="1"/>
    <n v="1"/>
    <n v="0"/>
    <s v="Refunded"/>
    <n v="15"/>
    <n v="240"/>
    <n v="240"/>
    <n v="55.2"/>
    <n v="169.8"/>
    <s v="West"/>
    <x v="7"/>
  </r>
  <r>
    <s v="ORD0207"/>
    <d v="2025-10-10T00:00:00"/>
    <x v="72"/>
    <s v="PROD009"/>
    <x v="4"/>
    <n v="3"/>
    <n v="0"/>
    <s v="Pending"/>
    <n v="10"/>
    <n v="130"/>
    <n v="390"/>
    <n v="33.799999999999997"/>
    <n v="278.60000000000002"/>
    <s v="North"/>
    <x v="4"/>
  </r>
  <r>
    <s v="ORD0208"/>
    <d v="2025-09-23T00:00:00"/>
    <x v="60"/>
    <s v="PROD007"/>
    <x v="2"/>
    <n v="5"/>
    <n v="0"/>
    <s v="Pending"/>
    <n v="12"/>
    <n v="160"/>
    <n v="800"/>
    <n v="38.4"/>
    <n v="596"/>
    <s v="East"/>
    <x v="6"/>
  </r>
  <r>
    <s v="ORD0209"/>
    <d v="2025-09-23T00:00:00"/>
    <x v="35"/>
    <s v="PROD003"/>
    <x v="0"/>
    <n v="3"/>
    <n v="0"/>
    <s v="Paid"/>
    <n v="8"/>
    <n v="90"/>
    <n v="270"/>
    <n v="25.2"/>
    <n v="186.4"/>
    <s v="South"/>
    <x v="8"/>
  </r>
  <r>
    <s v="ORD0210"/>
    <d v="2025-06-05T00:00:00"/>
    <x v="37"/>
    <s v="PROD004"/>
    <x v="4"/>
    <n v="5"/>
    <n v="0.05"/>
    <s v="Paid"/>
    <n v="18"/>
    <n v="180"/>
    <n v="855"/>
    <n v="54"/>
    <n v="567"/>
    <s v="North"/>
    <x v="0"/>
  </r>
  <r>
    <s v="ORD0211"/>
    <d v="2025-03-20T00:00:00"/>
    <x v="24"/>
    <s v="PROD009"/>
    <x v="2"/>
    <n v="2"/>
    <n v="0.15"/>
    <s v="Refunded"/>
    <n v="20"/>
    <n v="130"/>
    <n v="221"/>
    <n v="33.799999999999997"/>
    <n v="133.4"/>
    <s v="West"/>
    <x v="4"/>
  </r>
  <r>
    <s v="ORD0212"/>
    <d v="2025-01-15T00:00:00"/>
    <x v="59"/>
    <s v="PROD010"/>
    <x v="1"/>
    <n v="3"/>
    <n v="0.15"/>
    <s v="Paid"/>
    <n v="8"/>
    <n v="240"/>
    <n v="612"/>
    <n v="55.2"/>
    <n v="438.4"/>
    <s v="East"/>
    <x v="7"/>
  </r>
  <r>
    <s v="ORD0213"/>
    <d v="2025-11-24T00:00:00"/>
    <x v="17"/>
    <s v="PROD005"/>
    <x v="1"/>
    <n v="2"/>
    <n v="0.15"/>
    <s v="Paid"/>
    <n v="15"/>
    <n v="320"/>
    <n v="544"/>
    <n v="86.4"/>
    <n v="356.2"/>
    <s v="West"/>
    <x v="2"/>
  </r>
  <r>
    <s v="ORD0214"/>
    <d v="2025-12-17T00:00:00"/>
    <x v="68"/>
    <s v="PROD005"/>
    <x v="3"/>
    <n v="3"/>
    <n v="0.1"/>
    <s v="Paid"/>
    <n v="12"/>
    <n v="320"/>
    <n v="864"/>
    <n v="86.4"/>
    <n v="592.79999999999995"/>
    <s v="East"/>
    <x v="2"/>
  </r>
  <r>
    <s v="ORD0215"/>
    <d v="2025-09-05T00:00:00"/>
    <x v="27"/>
    <s v="PROD002"/>
    <x v="3"/>
    <n v="1"/>
    <n v="0"/>
    <s v="Paid"/>
    <n v="10"/>
    <n v="600"/>
    <n v="600"/>
    <n v="120"/>
    <n v="470"/>
    <s v="North"/>
    <x v="1"/>
  </r>
  <r>
    <s v="ORD0216"/>
    <d v="2025-06-13T00:00:00"/>
    <x v="5"/>
    <s v="PROD010"/>
    <x v="0"/>
    <n v="2"/>
    <n v="0.05"/>
    <s v="Pending"/>
    <n v="15"/>
    <n v="240"/>
    <n v="456"/>
    <n v="55.2"/>
    <n v="330.6"/>
    <s v="West"/>
    <x v="7"/>
  </r>
  <r>
    <s v="ORD0217"/>
    <d v="2025-05-04T00:00:00"/>
    <x v="60"/>
    <s v="PROD006"/>
    <x v="3"/>
    <n v="5"/>
    <n v="0.15"/>
    <s v="Paid"/>
    <n v="8"/>
    <n v="210"/>
    <n v="892.5"/>
    <n v="52.5"/>
    <n v="622"/>
    <s v="East"/>
    <x v="5"/>
  </r>
  <r>
    <s v="ORD0218"/>
    <d v="2025-05-29T00:00:00"/>
    <x v="63"/>
    <s v="PROD008"/>
    <x v="3"/>
    <n v="2"/>
    <n v="0"/>
    <s v="Paid"/>
    <n v="18"/>
    <n v="70"/>
    <n v="140"/>
    <n v="22.4"/>
    <n v="77.2"/>
    <s v="West"/>
    <x v="9"/>
  </r>
  <r>
    <s v="ORD0219"/>
    <d v="2025-06-10T00:00:00"/>
    <x v="34"/>
    <s v="PROD004"/>
    <x v="2"/>
    <n v="2"/>
    <n v="0.05"/>
    <s v="Pending"/>
    <n v="10"/>
    <n v="180"/>
    <n v="342"/>
    <n v="54"/>
    <n v="224"/>
    <s v="South"/>
    <x v="0"/>
  </r>
  <r>
    <s v="ORD0220"/>
    <d v="2025-09-12T00:00:00"/>
    <x v="43"/>
    <s v="PROD009"/>
    <x v="1"/>
    <n v="4"/>
    <n v="0.1"/>
    <s v="Pending"/>
    <n v="8"/>
    <n v="130"/>
    <n v="468"/>
    <n v="33.799999999999997"/>
    <n v="324.8"/>
    <s v="East"/>
    <x v="4"/>
  </r>
  <r>
    <s v="ORD0221"/>
    <d v="2025-06-30T00:00:00"/>
    <x v="57"/>
    <s v="PROD009"/>
    <x v="1"/>
    <n v="4"/>
    <n v="0"/>
    <s v="Paid"/>
    <n v="8"/>
    <n v="130"/>
    <n v="520"/>
    <n v="33.799999999999997"/>
    <n v="376.8"/>
    <s v="East"/>
    <x v="4"/>
  </r>
  <r>
    <s v="ORD0222"/>
    <d v="2025-01-05T00:00:00"/>
    <x v="69"/>
    <s v="PROD008"/>
    <x v="1"/>
    <n v="5"/>
    <n v="0.1"/>
    <s v="Paid"/>
    <n v="15"/>
    <n v="70"/>
    <n v="315"/>
    <n v="22.4"/>
    <n v="188"/>
    <s v="South"/>
    <x v="9"/>
  </r>
  <r>
    <s v="ORD0223"/>
    <d v="2025-07-25T00:00:00"/>
    <x v="71"/>
    <s v="PROD005"/>
    <x v="1"/>
    <n v="3"/>
    <n v="0.1"/>
    <s v="Paid"/>
    <n v="18"/>
    <n v="320"/>
    <n v="864"/>
    <n v="86.4"/>
    <n v="586.79999999999995"/>
    <s v="South"/>
    <x v="2"/>
  </r>
  <r>
    <s v="ORD0224"/>
    <d v="2025-07-17T00:00:00"/>
    <x v="10"/>
    <s v="PROD004"/>
    <x v="4"/>
    <n v="3"/>
    <n v="0.15"/>
    <s v="Paid"/>
    <n v="15"/>
    <n v="180"/>
    <n v="459"/>
    <n v="54"/>
    <n v="282"/>
    <s v="South"/>
    <x v="0"/>
  </r>
  <r>
    <s v="ORD0225"/>
    <d v="2025-02-19T00:00:00"/>
    <x v="51"/>
    <s v="PROD005"/>
    <x v="3"/>
    <n v="5"/>
    <n v="0.15"/>
    <s v="Paid"/>
    <n v="12"/>
    <n v="320"/>
    <n v="1360"/>
    <n v="86.4"/>
    <n v="916"/>
    <s v="North"/>
    <x v="2"/>
  </r>
  <r>
    <s v="ORD0226"/>
    <d v="2025-09-18T00:00:00"/>
    <x v="5"/>
    <s v="PROD009"/>
    <x v="3"/>
    <n v="3"/>
    <n v="0"/>
    <s v="Paid"/>
    <n v="18"/>
    <n v="130"/>
    <n v="390"/>
    <n v="33.799999999999997"/>
    <n v="270.60000000000002"/>
    <s v="West"/>
    <x v="4"/>
  </r>
  <r>
    <s v="ORD0227"/>
    <d v="2025-08-31T00:00:00"/>
    <x v="58"/>
    <s v="PROD001"/>
    <x v="4"/>
    <n v="1"/>
    <n v="0"/>
    <s v="Paid"/>
    <n v="15"/>
    <n v="850"/>
    <n v="850"/>
    <n v="187"/>
    <n v="648"/>
    <s v="North"/>
    <x v="3"/>
  </r>
  <r>
    <s v="ORD0228"/>
    <d v="2025-11-10T00:00:00"/>
    <x v="31"/>
    <s v="PROD010"/>
    <x v="0"/>
    <n v="5"/>
    <n v="0"/>
    <s v="Paid"/>
    <n v="10"/>
    <n v="240"/>
    <n v="1200"/>
    <n v="55.2"/>
    <n v="914"/>
    <s v="South"/>
    <x v="7"/>
  </r>
  <r>
    <s v="ORD0229"/>
    <d v="2025-09-18T00:00:00"/>
    <x v="57"/>
    <s v="PROD010"/>
    <x v="4"/>
    <n v="3"/>
    <n v="0.15"/>
    <s v="Paid"/>
    <n v="15"/>
    <n v="240"/>
    <n v="612"/>
    <n v="55.2"/>
    <n v="431.4"/>
    <s v="East"/>
    <x v="7"/>
  </r>
  <r>
    <s v="ORD0230"/>
    <d v="2025-12-11T00:00:00"/>
    <x v="21"/>
    <s v="PROD005"/>
    <x v="1"/>
    <n v="4"/>
    <n v="0"/>
    <s v="Paid"/>
    <n v="15"/>
    <n v="320"/>
    <n v="1280"/>
    <n v="86.4"/>
    <n v="919.4"/>
    <s v="West"/>
    <x v="2"/>
  </r>
  <r>
    <s v="ORD0231"/>
    <d v="2025-12-02T00:00:00"/>
    <x v="44"/>
    <s v="PROD005"/>
    <x v="4"/>
    <n v="1"/>
    <n v="0.15"/>
    <s v="Paid"/>
    <n v="18"/>
    <n v="320"/>
    <n v="272"/>
    <n v="86.4"/>
    <n v="167.6"/>
    <s v="South"/>
    <x v="2"/>
  </r>
  <r>
    <s v="ORD0232"/>
    <d v="2025-11-19T00:00:00"/>
    <x v="52"/>
    <s v="PROD001"/>
    <x v="4"/>
    <n v="5"/>
    <n v="0.1"/>
    <s v="Paid"/>
    <n v="15"/>
    <n v="850"/>
    <n v="3825"/>
    <n v="187"/>
    <n v="2875"/>
    <s v="North"/>
    <x v="3"/>
  </r>
  <r>
    <s v="ORD0233"/>
    <d v="2025-02-26T00:00:00"/>
    <x v="56"/>
    <s v="PROD004"/>
    <x v="2"/>
    <n v="1"/>
    <n v="0.15"/>
    <s v="Refunded"/>
    <n v="8"/>
    <n v="180"/>
    <n v="153"/>
    <n v="54"/>
    <n v="91"/>
    <s v="West"/>
    <x v="0"/>
  </r>
  <r>
    <s v="ORD0234"/>
    <d v="2025-04-15T00:00:00"/>
    <x v="7"/>
    <s v="PROD006"/>
    <x v="3"/>
    <n v="4"/>
    <n v="0"/>
    <s v="Paid"/>
    <n v="18"/>
    <n v="210"/>
    <n v="840"/>
    <n v="52.5"/>
    <n v="612"/>
    <s v="North"/>
    <x v="5"/>
  </r>
  <r>
    <s v="ORD0235"/>
    <d v="2025-10-15T00:00:00"/>
    <x v="28"/>
    <s v="PROD008"/>
    <x v="0"/>
    <n v="1"/>
    <n v="0"/>
    <s v="Paid"/>
    <n v="20"/>
    <n v="70"/>
    <n v="70"/>
    <n v="22.4"/>
    <n v="27.6"/>
    <s v="West"/>
    <x v="9"/>
  </r>
  <r>
    <s v="ORD0236"/>
    <d v="2025-08-24T00:00:00"/>
    <x v="41"/>
    <s v="PROD009"/>
    <x v="4"/>
    <n v="4"/>
    <n v="0.05"/>
    <s v="Refunded"/>
    <n v="12"/>
    <n v="130"/>
    <n v="494"/>
    <n v="33.799999999999997"/>
    <n v="346.8"/>
    <s v="West"/>
    <x v="4"/>
  </r>
  <r>
    <s v="ORD0237"/>
    <d v="2025-05-07T00:00:00"/>
    <x v="68"/>
    <s v="PROD006"/>
    <x v="0"/>
    <n v="3"/>
    <n v="0.15"/>
    <s v="Paid"/>
    <n v="18"/>
    <n v="210"/>
    <n v="535.5"/>
    <n v="52.5"/>
    <n v="360"/>
    <s v="East"/>
    <x v="5"/>
  </r>
  <r>
    <s v="ORD0238"/>
    <d v="2025-12-20T00:00:00"/>
    <x v="49"/>
    <s v="PROD004"/>
    <x v="3"/>
    <n v="3"/>
    <n v="0.05"/>
    <s v="Paid"/>
    <n v="12"/>
    <n v="180"/>
    <n v="513"/>
    <n v="54"/>
    <n v="339"/>
    <s v="East"/>
    <x v="0"/>
  </r>
  <r>
    <s v="ORD0239"/>
    <d v="2025-10-21T00:00:00"/>
    <x v="41"/>
    <s v="PROD006"/>
    <x v="4"/>
    <n v="5"/>
    <n v="0.05"/>
    <s v="Paid"/>
    <n v="15"/>
    <n v="210"/>
    <n v="997.5"/>
    <n v="52.5"/>
    <n v="720"/>
    <s v="West"/>
    <x v="5"/>
  </r>
  <r>
    <s v="ORD0240"/>
    <d v="2025-02-10T00:00:00"/>
    <x v="57"/>
    <s v="PROD006"/>
    <x v="0"/>
    <n v="2"/>
    <n v="0.05"/>
    <s v="Paid"/>
    <n v="15"/>
    <n v="210"/>
    <n v="399"/>
    <n v="52.5"/>
    <n v="279"/>
    <s v="East"/>
    <x v="5"/>
  </r>
  <r>
    <s v="ORD0241"/>
    <d v="2025-05-19T00:00:00"/>
    <x v="37"/>
    <s v="PROD008"/>
    <x v="4"/>
    <n v="2"/>
    <n v="0"/>
    <s v="Pending"/>
    <n v="20"/>
    <n v="70"/>
    <n v="140"/>
    <n v="22.4"/>
    <n v="75.2"/>
    <s v="North"/>
    <x v="9"/>
  </r>
  <r>
    <s v="ORD0242"/>
    <d v="2025-05-03T00:00:00"/>
    <x v="63"/>
    <s v="PROD003"/>
    <x v="2"/>
    <n v="1"/>
    <n v="0.15"/>
    <s v="Paid"/>
    <n v="8"/>
    <n v="90"/>
    <n v="76.5"/>
    <n v="25.2"/>
    <n v="43.3"/>
    <s v="West"/>
    <x v="8"/>
  </r>
  <r>
    <s v="ORD0243"/>
    <d v="2025-06-19T00:00:00"/>
    <x v="3"/>
    <s v="PROD004"/>
    <x v="3"/>
    <n v="2"/>
    <n v="0"/>
    <s v="Paid"/>
    <n v="8"/>
    <n v="180"/>
    <n v="360"/>
    <n v="54"/>
    <n v="244"/>
    <s v="North"/>
    <x v="0"/>
  </r>
  <r>
    <s v="ORD0244"/>
    <d v="2025-09-01T00:00:00"/>
    <x v="71"/>
    <s v="PROD001"/>
    <x v="3"/>
    <n v="5"/>
    <n v="0"/>
    <s v="Paid"/>
    <n v="20"/>
    <n v="850"/>
    <n v="4250"/>
    <n v="187"/>
    <n v="3295"/>
    <s v="South"/>
    <x v="3"/>
  </r>
  <r>
    <s v="ORD0245"/>
    <d v="2025-02-15T00:00:00"/>
    <x v="18"/>
    <s v="PROD005"/>
    <x v="4"/>
    <n v="3"/>
    <n v="0.05"/>
    <s v="Paid"/>
    <n v="10"/>
    <n v="320"/>
    <n v="912"/>
    <n v="86.4"/>
    <n v="642.79999999999995"/>
    <s v="North"/>
    <x v="2"/>
  </r>
  <r>
    <s v="ORD0246"/>
    <d v="2025-04-01T00:00:00"/>
    <x v="1"/>
    <s v="PROD001"/>
    <x v="1"/>
    <n v="2"/>
    <n v="0.1"/>
    <s v="Pending"/>
    <n v="15"/>
    <n v="850"/>
    <n v="1530"/>
    <n v="187"/>
    <n v="1141"/>
    <s v="West"/>
    <x v="3"/>
  </r>
  <r>
    <s v="ORD0247"/>
    <d v="2025-10-18T00:00:00"/>
    <x v="43"/>
    <s v="PROD003"/>
    <x v="4"/>
    <n v="3"/>
    <n v="0"/>
    <s v="Paid"/>
    <n v="8"/>
    <n v="90"/>
    <n v="270"/>
    <n v="25.2"/>
    <n v="186.4"/>
    <s v="East"/>
    <x v="8"/>
  </r>
  <r>
    <s v="ORD0248"/>
    <d v="2025-03-10T00:00:00"/>
    <x v="32"/>
    <s v="PROD005"/>
    <x v="4"/>
    <n v="4"/>
    <n v="0.15"/>
    <s v="Paid"/>
    <n v="15"/>
    <n v="320"/>
    <n v="1088"/>
    <n v="86.4"/>
    <n v="727.4"/>
    <s v="South"/>
    <x v="2"/>
  </r>
  <r>
    <s v="ORD0249"/>
    <d v="2025-08-23T00:00:00"/>
    <x v="63"/>
    <s v="PROD004"/>
    <x v="0"/>
    <n v="1"/>
    <n v="0.05"/>
    <s v="Paid"/>
    <n v="20"/>
    <n v="180"/>
    <n v="171"/>
    <n v="54"/>
    <n v="97"/>
    <s v="West"/>
    <x v="0"/>
  </r>
  <r>
    <s v="ORD0250"/>
    <d v="2025-04-09T00:00:00"/>
    <x v="73"/>
    <s v="PROD001"/>
    <x v="2"/>
    <n v="3"/>
    <n v="0.05"/>
    <s v="Paid"/>
    <n v="18"/>
    <n v="850"/>
    <n v="2422.5"/>
    <n v="187"/>
    <n v="1843.5"/>
    <s v="East"/>
    <x v="3"/>
  </r>
  <r>
    <s v="ORD0251"/>
    <d v="2025-12-09T00:00:00"/>
    <x v="74"/>
    <s v="PROD007"/>
    <x v="1"/>
    <n v="5"/>
    <n v="0.05"/>
    <s v="Paid"/>
    <n v="10"/>
    <n v="160"/>
    <n v="760"/>
    <n v="38.4"/>
    <n v="558"/>
    <s v="South"/>
    <x v="6"/>
  </r>
  <r>
    <s v="ORD0252"/>
    <d v="2025-07-16T00:00:00"/>
    <x v="71"/>
    <s v="PROD008"/>
    <x v="2"/>
    <n v="3"/>
    <n v="0"/>
    <s v="Paid"/>
    <n v="15"/>
    <n v="70"/>
    <n v="210"/>
    <n v="22.4"/>
    <n v="127.80000000000001"/>
    <s v="South"/>
    <x v="9"/>
  </r>
  <r>
    <s v="ORD0253"/>
    <d v="2025-01-06T00:00:00"/>
    <x v="63"/>
    <s v="PROD006"/>
    <x v="0"/>
    <n v="3"/>
    <n v="0.15"/>
    <s v="Paid"/>
    <n v="20"/>
    <n v="210"/>
    <n v="535.5"/>
    <n v="52.5"/>
    <n v="358"/>
    <s v="West"/>
    <x v="5"/>
  </r>
  <r>
    <s v="ORD0254"/>
    <d v="2025-03-23T00:00:00"/>
    <x v="9"/>
    <s v="PROD004"/>
    <x v="3"/>
    <n v="1"/>
    <n v="0"/>
    <s v="Paid"/>
    <n v="20"/>
    <n v="180"/>
    <n v="180"/>
    <n v="54"/>
    <n v="106"/>
    <s v="North"/>
    <x v="0"/>
  </r>
  <r>
    <s v="ORD0255"/>
    <d v="2025-04-24T00:00:00"/>
    <x v="53"/>
    <s v="PROD005"/>
    <x v="2"/>
    <n v="1"/>
    <n v="0.05"/>
    <s v="Paid"/>
    <n v="10"/>
    <n v="320"/>
    <n v="304"/>
    <n v="86.4"/>
    <n v="207.6"/>
    <s v="North"/>
    <x v="2"/>
  </r>
  <r>
    <s v="ORD0256"/>
    <d v="2025-12-26T00:00:00"/>
    <x v="41"/>
    <s v="PROD003"/>
    <x v="4"/>
    <n v="4"/>
    <n v="0.15"/>
    <s v="Paid"/>
    <n v="15"/>
    <n v="90"/>
    <n v="306"/>
    <n v="25.2"/>
    <n v="190.2"/>
    <s v="West"/>
    <x v="8"/>
  </r>
  <r>
    <s v="ORD0257"/>
    <d v="2025-02-11T00:00:00"/>
    <x v="1"/>
    <s v="PROD004"/>
    <x v="4"/>
    <n v="2"/>
    <n v="0.15"/>
    <s v="Pending"/>
    <n v="15"/>
    <n v="180"/>
    <n v="306"/>
    <n v="54"/>
    <n v="183"/>
    <s v="West"/>
    <x v="0"/>
  </r>
  <r>
    <s v="ORD0258"/>
    <d v="2025-10-08T00:00:00"/>
    <x v="3"/>
    <s v="PROD006"/>
    <x v="4"/>
    <n v="1"/>
    <n v="0.15"/>
    <s v="Paid"/>
    <n v="10"/>
    <n v="210"/>
    <n v="178.5"/>
    <n v="52.5"/>
    <n v="116"/>
    <s v="North"/>
    <x v="5"/>
  </r>
  <r>
    <s v="ORD0259"/>
    <d v="2025-09-24T00:00:00"/>
    <x v="17"/>
    <s v="PROD009"/>
    <x v="3"/>
    <n v="2"/>
    <n v="0"/>
    <s v="Paid"/>
    <n v="8"/>
    <n v="130"/>
    <n v="260"/>
    <n v="33.799999999999997"/>
    <n v="184.4"/>
    <s v="West"/>
    <x v="4"/>
  </r>
  <r>
    <s v="ORD0260"/>
    <d v="2025-08-17T00:00:00"/>
    <x v="55"/>
    <s v="PROD010"/>
    <x v="1"/>
    <n v="4"/>
    <n v="0"/>
    <s v="Pending"/>
    <n v="15"/>
    <n v="240"/>
    <n v="960"/>
    <n v="55.2"/>
    <n v="724.2"/>
    <s v="East"/>
    <x v="7"/>
  </r>
  <r>
    <s v="ORD0261"/>
    <d v="2025-10-14T00:00:00"/>
    <x v="60"/>
    <s v="PROD009"/>
    <x v="3"/>
    <n v="4"/>
    <n v="0.1"/>
    <s v="Paid"/>
    <n v="20"/>
    <n v="130"/>
    <n v="468"/>
    <n v="33.799999999999997"/>
    <n v="312.8"/>
    <s v="East"/>
    <x v="4"/>
  </r>
  <r>
    <s v="ORD0262"/>
    <d v="2025-04-22T00:00:00"/>
    <x v="62"/>
    <s v="PROD001"/>
    <x v="4"/>
    <n v="4"/>
    <n v="0.05"/>
    <s v="Pending"/>
    <n v="8"/>
    <n v="850"/>
    <n v="3230"/>
    <n v="187"/>
    <n v="2474"/>
    <s v="South"/>
    <x v="3"/>
  </r>
  <r>
    <s v="ORD0263"/>
    <d v="2025-01-31T00:00:00"/>
    <x v="58"/>
    <s v="PROD007"/>
    <x v="1"/>
    <n v="3"/>
    <n v="0"/>
    <s v="Paid"/>
    <n v="15"/>
    <n v="160"/>
    <n v="480"/>
    <n v="38.4"/>
    <n v="349.8"/>
    <s v="North"/>
    <x v="6"/>
  </r>
  <r>
    <s v="ORD0264"/>
    <d v="2025-11-25T00:00:00"/>
    <x v="8"/>
    <s v="PROD005"/>
    <x v="3"/>
    <n v="4"/>
    <n v="0"/>
    <s v="Paid"/>
    <n v="12"/>
    <n v="320"/>
    <n v="1280"/>
    <n v="86.4"/>
    <n v="922.4"/>
    <s v="West"/>
    <x v="2"/>
  </r>
  <r>
    <s v="ORD0265"/>
    <d v="2025-12-05T00:00:00"/>
    <x v="36"/>
    <s v="PROD008"/>
    <x v="4"/>
    <n v="4"/>
    <n v="0.1"/>
    <s v="Paid"/>
    <n v="10"/>
    <n v="70"/>
    <n v="252"/>
    <n v="22.4"/>
    <n v="152.4"/>
    <s v="East"/>
    <x v="9"/>
  </r>
  <r>
    <s v="ORD0266"/>
    <d v="2025-03-07T00:00:00"/>
    <x v="13"/>
    <s v="PROD002"/>
    <x v="2"/>
    <n v="2"/>
    <n v="0.15"/>
    <s v="Paid"/>
    <n v="8"/>
    <n v="600"/>
    <n v="1020"/>
    <n v="120"/>
    <n v="772"/>
    <s v="West"/>
    <x v="1"/>
  </r>
  <r>
    <s v="ORD0267"/>
    <d v="2025-07-14T00:00:00"/>
    <x v="33"/>
    <s v="PROD005"/>
    <x v="2"/>
    <n v="4"/>
    <n v="0.15"/>
    <s v="Paid"/>
    <n v="10"/>
    <n v="320"/>
    <n v="1088"/>
    <n v="86.4"/>
    <n v="732.4"/>
    <s v="West"/>
    <x v="2"/>
  </r>
  <r>
    <s v="ORD0268"/>
    <d v="2025-02-27T00:00:00"/>
    <x v="27"/>
    <s v="PROD006"/>
    <x v="1"/>
    <n v="2"/>
    <n v="0.05"/>
    <s v="Paid"/>
    <n v="20"/>
    <n v="210"/>
    <n v="399"/>
    <n v="52.5"/>
    <n v="274"/>
    <s v="North"/>
    <x v="5"/>
  </r>
  <r>
    <s v="ORD0269"/>
    <d v="2025-02-21T00:00:00"/>
    <x v="34"/>
    <s v="PROD010"/>
    <x v="4"/>
    <n v="1"/>
    <n v="0"/>
    <s v="Paid"/>
    <n v="8"/>
    <n v="240"/>
    <n v="240"/>
    <n v="55.2"/>
    <n v="176.8"/>
    <s v="South"/>
    <x v="7"/>
  </r>
  <r>
    <s v="ORD0270"/>
    <d v="2025-07-25T00:00:00"/>
    <x v="42"/>
    <s v="PROD010"/>
    <x v="3"/>
    <n v="1"/>
    <n v="0"/>
    <s v="Paid"/>
    <n v="10"/>
    <n v="240"/>
    <n v="240"/>
    <n v="55.2"/>
    <n v="174.8"/>
    <s v="South"/>
    <x v="7"/>
  </r>
  <r>
    <s v="ORD0271"/>
    <d v="2025-05-29T00:00:00"/>
    <x v="68"/>
    <s v="PROD004"/>
    <x v="2"/>
    <n v="1"/>
    <n v="0"/>
    <s v="Paid"/>
    <n v="20"/>
    <n v="180"/>
    <n v="180"/>
    <n v="54"/>
    <n v="106"/>
    <s v="East"/>
    <x v="0"/>
  </r>
  <r>
    <s v="ORD0272"/>
    <d v="2025-06-14T00:00:00"/>
    <x v="17"/>
    <s v="PROD006"/>
    <x v="2"/>
    <n v="5"/>
    <n v="0.15"/>
    <s v="Paid"/>
    <n v="12"/>
    <n v="210"/>
    <n v="892.5"/>
    <n v="52.5"/>
    <n v="618"/>
    <s v="West"/>
    <x v="5"/>
  </r>
  <r>
    <s v="ORD0273"/>
    <d v="2025-02-01T00:00:00"/>
    <x v="56"/>
    <s v="PROD009"/>
    <x v="4"/>
    <n v="2"/>
    <n v="0.1"/>
    <s v="Paid"/>
    <n v="18"/>
    <n v="130"/>
    <n v="234"/>
    <n v="33.799999999999997"/>
    <n v="148.4"/>
    <s v="West"/>
    <x v="4"/>
  </r>
  <r>
    <s v="ORD0274"/>
    <d v="2025-06-26T00:00:00"/>
    <x v="75"/>
    <s v="PROD007"/>
    <x v="3"/>
    <n v="5"/>
    <n v="0.1"/>
    <s v="Paid"/>
    <n v="18"/>
    <n v="160"/>
    <n v="720"/>
    <n v="38.4"/>
    <n v="510"/>
    <s v="South"/>
    <x v="6"/>
  </r>
  <r>
    <s v="ORD0275"/>
    <d v="2025-04-05T00:00:00"/>
    <x v="0"/>
    <s v="PROD007"/>
    <x v="4"/>
    <n v="4"/>
    <n v="0"/>
    <s v="Paid"/>
    <n v="15"/>
    <n v="160"/>
    <n v="640"/>
    <n v="38.4"/>
    <n v="471.4"/>
    <s v="West"/>
    <x v="6"/>
  </r>
  <r>
    <s v="ORD0276"/>
    <d v="2025-01-30T00:00:00"/>
    <x v="39"/>
    <s v="PROD004"/>
    <x v="4"/>
    <n v="3"/>
    <n v="0"/>
    <s v="Pending"/>
    <n v="15"/>
    <n v="180"/>
    <n v="540"/>
    <n v="54"/>
    <n v="363"/>
    <s v="South"/>
    <x v="0"/>
  </r>
  <r>
    <s v="ORD0277"/>
    <d v="2025-05-11T00:00:00"/>
    <x v="34"/>
    <s v="PROD009"/>
    <x v="2"/>
    <n v="5"/>
    <n v="0"/>
    <s v="Paid"/>
    <n v="12"/>
    <n v="130"/>
    <n v="650"/>
    <n v="33.799999999999997"/>
    <n v="469"/>
    <s v="South"/>
    <x v="4"/>
  </r>
  <r>
    <s v="ORD0278"/>
    <d v="2025-04-08T00:00:00"/>
    <x v="76"/>
    <s v="PROD008"/>
    <x v="1"/>
    <n v="3"/>
    <n v="0"/>
    <s v="Paid"/>
    <n v="12"/>
    <n v="70"/>
    <n v="210"/>
    <n v="22.4"/>
    <n v="130.80000000000001"/>
    <s v="East"/>
    <x v="9"/>
  </r>
  <r>
    <s v="ORD0279"/>
    <d v="2025-04-07T00:00:00"/>
    <x v="36"/>
    <s v="PROD010"/>
    <x v="4"/>
    <n v="5"/>
    <n v="0"/>
    <s v="Pending"/>
    <n v="20"/>
    <n v="240"/>
    <n v="1200"/>
    <n v="55.2"/>
    <n v="904"/>
    <s v="East"/>
    <x v="7"/>
  </r>
  <r>
    <s v="ORD0280"/>
    <d v="2025-06-20T00:00:00"/>
    <x v="10"/>
    <s v="PROD004"/>
    <x v="0"/>
    <n v="4"/>
    <n v="0"/>
    <s v="Pending"/>
    <n v="8"/>
    <n v="180"/>
    <n v="720"/>
    <n v="54"/>
    <n v="496"/>
    <s v="South"/>
    <x v="0"/>
  </r>
  <r>
    <s v="ORD0281"/>
    <d v="2025-12-23T00:00:00"/>
    <x v="77"/>
    <s v="PROD004"/>
    <x v="4"/>
    <n v="1"/>
    <n v="0.1"/>
    <s v="Pending"/>
    <n v="20"/>
    <n v="180"/>
    <n v="162"/>
    <n v="54"/>
    <n v="88"/>
    <s v="East"/>
    <x v="0"/>
  </r>
  <r>
    <s v="ORD0282"/>
    <d v="2025-05-25T00:00:00"/>
    <x v="55"/>
    <s v="PROD007"/>
    <x v="3"/>
    <n v="2"/>
    <n v="0.15"/>
    <s v="Paid"/>
    <n v="15"/>
    <n v="160"/>
    <n v="272"/>
    <n v="38.4"/>
    <n v="180.2"/>
    <s v="East"/>
    <x v="6"/>
  </r>
  <r>
    <s v="ORD0283"/>
    <d v="2025-09-12T00:00:00"/>
    <x v="1"/>
    <s v="PROD006"/>
    <x v="3"/>
    <n v="3"/>
    <n v="0.05"/>
    <s v="Paid"/>
    <n v="8"/>
    <n v="210"/>
    <n v="598.5"/>
    <n v="52.5"/>
    <n v="433"/>
    <s v="West"/>
    <x v="5"/>
  </r>
  <r>
    <s v="ORD0284"/>
    <d v="2025-01-24T00:00:00"/>
    <x v="23"/>
    <s v="PROD006"/>
    <x v="4"/>
    <n v="2"/>
    <n v="0.05"/>
    <s v="Paid"/>
    <n v="10"/>
    <n v="210"/>
    <n v="399"/>
    <n v="52.5"/>
    <n v="284"/>
    <s v="West"/>
    <x v="5"/>
  </r>
  <r>
    <s v="ORD0285"/>
    <d v="2025-10-24T00:00:00"/>
    <x v="56"/>
    <s v="PROD001"/>
    <x v="3"/>
    <n v="3"/>
    <n v="0.15"/>
    <s v="Pending"/>
    <n v="12"/>
    <n v="850"/>
    <n v="2167.5"/>
    <n v="187"/>
    <n v="1594.5"/>
    <s v="West"/>
    <x v="3"/>
  </r>
  <r>
    <s v="ORD0286"/>
    <d v="2025-05-06T00:00:00"/>
    <x v="31"/>
    <s v="PROD004"/>
    <x v="3"/>
    <n v="3"/>
    <n v="0"/>
    <s v="Paid"/>
    <n v="18"/>
    <n v="180"/>
    <n v="540"/>
    <n v="54"/>
    <n v="360"/>
    <s v="South"/>
    <x v="0"/>
  </r>
  <r>
    <s v="ORD0287"/>
    <d v="2025-06-30T00:00:00"/>
    <x v="5"/>
    <s v="PROD005"/>
    <x v="2"/>
    <n v="4"/>
    <n v="0.1"/>
    <s v="Paid"/>
    <n v="10"/>
    <n v="320"/>
    <n v="1152"/>
    <n v="86.4"/>
    <n v="796.4"/>
    <s v="West"/>
    <x v="2"/>
  </r>
  <r>
    <s v="ORD0288"/>
    <d v="2025-01-31T00:00:00"/>
    <x v="68"/>
    <s v="PROD008"/>
    <x v="4"/>
    <n v="2"/>
    <n v="0.15"/>
    <s v="Refunded"/>
    <n v="8"/>
    <n v="70"/>
    <n v="119"/>
    <n v="22.4"/>
    <n v="66.2"/>
    <s v="East"/>
    <x v="9"/>
  </r>
  <r>
    <s v="ORD0289"/>
    <d v="2025-11-19T00:00:00"/>
    <x v="30"/>
    <s v="PROD001"/>
    <x v="2"/>
    <n v="1"/>
    <n v="-0.05"/>
    <s v="Paid"/>
    <n v="8"/>
    <n v="850"/>
    <n v="892.5"/>
    <n v="187"/>
    <n v="697.5"/>
    <s v="West"/>
    <x v="3"/>
  </r>
  <r>
    <s v="ORD0290"/>
    <d v="2025-01-31T00:00:00"/>
    <x v="31"/>
    <s v="PROD001"/>
    <x v="4"/>
    <n v="2"/>
    <n v="0.15"/>
    <s v="Paid"/>
    <n v="20"/>
    <n v="850"/>
    <n v="1445"/>
    <n v="187"/>
    <n v="1051"/>
    <s v="South"/>
    <x v="3"/>
  </r>
  <r>
    <s v="ORD0291"/>
    <d v="2025-10-10T00:00:00"/>
    <x v="28"/>
    <s v="PROD008"/>
    <x v="3"/>
    <n v="4"/>
    <n v="0"/>
    <s v="Paid"/>
    <n v="8"/>
    <n v="70"/>
    <n v="280"/>
    <n v="22.4"/>
    <n v="182.4"/>
    <s v="West"/>
    <x v="9"/>
  </r>
  <r>
    <s v="ORD0292"/>
    <d v="2025-01-09T00:00:00"/>
    <x v="33"/>
    <s v="PROD009"/>
    <x v="4"/>
    <n v="3"/>
    <n v="0.15"/>
    <s v="Refunded"/>
    <n v="20"/>
    <n v="130"/>
    <n v="331.5"/>
    <n v="33.799999999999997"/>
    <n v="210.10000000000002"/>
    <s v="West"/>
    <x v="4"/>
  </r>
  <r>
    <s v="ORD0293"/>
    <d v="2025-05-04T00:00:00"/>
    <x v="22"/>
    <s v="PROD003"/>
    <x v="2"/>
    <n v="1"/>
    <n v="0"/>
    <s v="Paid"/>
    <n v="18"/>
    <n v="90"/>
    <n v="90"/>
    <n v="25.2"/>
    <n v="46.8"/>
    <s v="North"/>
    <x v="8"/>
  </r>
  <r>
    <s v="ORD0294"/>
    <d v="2025-02-10T00:00:00"/>
    <x v="3"/>
    <s v="PROD005"/>
    <x v="0"/>
    <n v="3"/>
    <n v="0.05"/>
    <s v="Pending"/>
    <n v="15"/>
    <n v="320"/>
    <n v="912"/>
    <n v="86.4"/>
    <n v="637.79999999999995"/>
    <s v="North"/>
    <x v="2"/>
  </r>
  <r>
    <s v="ORD0295"/>
    <d v="2025-02-11T00:00:00"/>
    <x v="27"/>
    <s v="PROD010"/>
    <x v="1"/>
    <n v="2"/>
    <n v="0"/>
    <s v="Paid"/>
    <n v="8"/>
    <n v="240"/>
    <n v="480"/>
    <n v="55.2"/>
    <n v="361.6"/>
    <s v="North"/>
    <x v="7"/>
  </r>
  <r>
    <s v="ORD0296"/>
    <d v="2025-11-23T00:00:00"/>
    <x v="74"/>
    <s v="PROD007"/>
    <x v="1"/>
    <n v="4"/>
    <n v="0.15"/>
    <s v="Paid"/>
    <n v="20"/>
    <n v="160"/>
    <n v="544"/>
    <n v="38.4"/>
    <n v="370.4"/>
    <s v="South"/>
    <x v="6"/>
  </r>
  <r>
    <s v="ORD0297"/>
    <d v="2025-06-19T00:00:00"/>
    <x v="35"/>
    <s v="PROD002"/>
    <x v="4"/>
    <n v="4"/>
    <n v="0.1"/>
    <s v="Paid"/>
    <n v="8"/>
    <n v="600"/>
    <n v="2160"/>
    <n v="120"/>
    <n v="1672"/>
    <s v="South"/>
    <x v="1"/>
  </r>
  <r>
    <s v="ORD0298"/>
    <d v="2025-12-21T00:00:00"/>
    <x v="3"/>
    <s v="PROD001"/>
    <x v="4"/>
    <n v="2"/>
    <n v="0"/>
    <s v="Pending"/>
    <n v="15"/>
    <n v="850"/>
    <n v="1700"/>
    <n v="187"/>
    <n v="1311"/>
    <s v="North"/>
    <x v="3"/>
  </r>
  <r>
    <s v="ORD0299"/>
    <d v="2025-10-16T00:00:00"/>
    <x v="63"/>
    <s v="PROD001"/>
    <x v="1"/>
    <n v="1"/>
    <n v="0.05"/>
    <s v="Pending"/>
    <n v="10"/>
    <n v="850"/>
    <n v="807.5"/>
    <n v="187"/>
    <n v="610.5"/>
    <s v="West"/>
    <x v="3"/>
  </r>
  <r>
    <s v="ORD0300"/>
    <d v="2025-12-31T00:00:00"/>
    <x v="0"/>
    <s v="PROD001"/>
    <x v="3"/>
    <n v="2"/>
    <n v="0.15"/>
    <s v="Paid"/>
    <n v="8"/>
    <n v="850"/>
    <n v="1445"/>
    <n v="187"/>
    <n v="1063"/>
    <s v="West"/>
    <x v="3"/>
  </r>
  <r>
    <s v="ORD0301"/>
    <d v="2025-07-19T00:00:00"/>
    <x v="49"/>
    <s v="PROD003"/>
    <x v="4"/>
    <n v="5"/>
    <n v="0"/>
    <s v="Paid"/>
    <n v="12"/>
    <n v="90"/>
    <n v="450"/>
    <n v="25.2"/>
    <n v="312"/>
    <s v="East"/>
    <x v="8"/>
  </r>
  <r>
    <s v="ORD0302"/>
    <d v="2025-06-27T00:00:00"/>
    <x v="26"/>
    <s v="PROD003"/>
    <x v="1"/>
    <n v="1"/>
    <n v="0.15"/>
    <s v="Paid"/>
    <n v="8"/>
    <n v="90"/>
    <n v="76.5"/>
    <n v="25.2"/>
    <n v="43.3"/>
    <s v="West"/>
    <x v="8"/>
  </r>
  <r>
    <s v="ORD0303"/>
    <d v="2025-11-11T00:00:00"/>
    <x v="22"/>
    <s v="PROD004"/>
    <x v="4"/>
    <n v="1"/>
    <n v="0.05"/>
    <s v="Paid"/>
    <n v="15"/>
    <n v="180"/>
    <n v="171"/>
    <n v="54"/>
    <n v="102"/>
    <s v="North"/>
    <x v="0"/>
  </r>
  <r>
    <s v="ORD0304"/>
    <d v="2025-07-02T00:00:00"/>
    <x v="54"/>
    <s v="PROD001"/>
    <x v="4"/>
    <n v="3"/>
    <n v="0.1"/>
    <s v="Paid"/>
    <n v="15"/>
    <n v="850"/>
    <n v="2295"/>
    <n v="187"/>
    <n v="1719"/>
    <s v="West"/>
    <x v="3"/>
  </r>
  <r>
    <s v="ORD0305"/>
    <d v="2025-11-13T00:00:00"/>
    <x v="22"/>
    <s v="PROD003"/>
    <x v="0"/>
    <n v="5"/>
    <n v="0.1"/>
    <s v="Paid"/>
    <n v="10"/>
    <n v="90"/>
    <n v="405"/>
    <n v="25.2"/>
    <n v="269"/>
    <s v="North"/>
    <x v="8"/>
  </r>
  <r>
    <s v="ORD0306"/>
    <d v="2025-11-21T00:00:00"/>
    <x v="30"/>
    <s v="PROD002"/>
    <x v="2"/>
    <n v="3"/>
    <n v="0"/>
    <s v="Paid"/>
    <n v="20"/>
    <n v="600"/>
    <n v="1800"/>
    <n v="120"/>
    <n v="1420"/>
    <s v="West"/>
    <x v="1"/>
  </r>
  <r>
    <s v="ORD0307"/>
    <d v="2025-06-07T00:00:00"/>
    <x v="26"/>
    <s v="PROD006"/>
    <x v="3"/>
    <n v="3"/>
    <n v="0"/>
    <s v="Paid"/>
    <n v="12"/>
    <n v="210"/>
    <n v="630"/>
    <n v="52.5"/>
    <n v="460.5"/>
    <s v="West"/>
    <x v="5"/>
  </r>
  <r>
    <s v="ORD0308"/>
    <d v="2025-08-18T00:00:00"/>
    <x v="63"/>
    <s v="PROD002"/>
    <x v="4"/>
    <n v="2"/>
    <n v="0"/>
    <s v="Paid"/>
    <n v="18"/>
    <n v="600"/>
    <n v="1200"/>
    <n v="120"/>
    <n v="942"/>
    <s v="West"/>
    <x v="1"/>
  </r>
  <r>
    <s v="ORD0309"/>
    <d v="2025-10-11T00:00:00"/>
    <x v="70"/>
    <s v="PROD007"/>
    <x v="1"/>
    <n v="1"/>
    <n v="0"/>
    <s v="Paid"/>
    <n v="18"/>
    <n v="160"/>
    <n v="160"/>
    <n v="38.4"/>
    <n v="103.6"/>
    <s v="West"/>
    <x v="6"/>
  </r>
  <r>
    <s v="ORD0310"/>
    <d v="2025-07-18T00:00:00"/>
    <x v="16"/>
    <s v="PROD006"/>
    <x v="1"/>
    <n v="4"/>
    <n v="0"/>
    <s v="Paid"/>
    <n v="20"/>
    <n v="210"/>
    <n v="840"/>
    <n v="52.5"/>
    <n v="610"/>
    <s v="South"/>
    <x v="5"/>
  </r>
  <r>
    <s v="ORD0311"/>
    <d v="2025-07-14T00:00:00"/>
    <x v="10"/>
    <s v="PROD004"/>
    <x v="2"/>
    <n v="5"/>
    <n v="0.15"/>
    <s v="Paid"/>
    <n v="10"/>
    <n v="180"/>
    <n v="765"/>
    <n v="54"/>
    <n v="485"/>
    <s v="South"/>
    <x v="0"/>
  </r>
  <r>
    <s v="ORD0312"/>
    <d v="2025-03-27T00:00:00"/>
    <x v="63"/>
    <s v="PROD005"/>
    <x v="3"/>
    <n v="3"/>
    <n v="0.1"/>
    <s v="Paid"/>
    <n v="12"/>
    <n v="320"/>
    <n v="864"/>
    <n v="86.4"/>
    <n v="592.79999999999995"/>
    <s v="West"/>
    <x v="2"/>
  </r>
  <r>
    <s v="ORD0313"/>
    <d v="2025-05-07T00:00:00"/>
    <x v="34"/>
    <s v="PROD005"/>
    <x v="3"/>
    <n v="4"/>
    <n v="0"/>
    <s v="Paid"/>
    <n v="18"/>
    <n v="320"/>
    <n v="1280"/>
    <n v="86.4"/>
    <n v="916.4"/>
    <s v="South"/>
    <x v="2"/>
  </r>
  <r>
    <s v="ORD0314"/>
    <d v="2025-01-04T00:00:00"/>
    <x v="28"/>
    <s v="PROD004"/>
    <x v="3"/>
    <n v="4"/>
    <n v="0"/>
    <s v="Paid"/>
    <n v="12"/>
    <n v="180"/>
    <n v="720"/>
    <n v="54"/>
    <n v="492"/>
    <s v="West"/>
    <x v="0"/>
  </r>
  <r>
    <s v="ORD0315"/>
    <d v="2025-11-30T00:00:00"/>
    <x v="59"/>
    <s v="PROD007"/>
    <x v="4"/>
    <n v="3"/>
    <n v="0.1"/>
    <s v="Paid"/>
    <n v="10"/>
    <n v="160"/>
    <n v="432"/>
    <n v="38.4"/>
    <n v="306.8"/>
    <s v="East"/>
    <x v="6"/>
  </r>
  <r>
    <s v="ORD0316"/>
    <d v="2025-04-01T00:00:00"/>
    <x v="49"/>
    <s v="PROD006"/>
    <x v="3"/>
    <n v="5"/>
    <n v="0"/>
    <s v="Paid"/>
    <n v="12"/>
    <n v="210"/>
    <n v="1050"/>
    <n v="52.5"/>
    <n v="775.5"/>
    <s v="East"/>
    <x v="5"/>
  </r>
  <r>
    <s v="ORD0317"/>
    <d v="2025-05-24T00:00:00"/>
    <x v="20"/>
    <s v="PROD008"/>
    <x v="3"/>
    <n v="5"/>
    <n v="0"/>
    <s v="Paid"/>
    <n v="12"/>
    <n v="70"/>
    <n v="350"/>
    <n v="22.4"/>
    <n v="226"/>
    <s v="South"/>
    <x v="9"/>
  </r>
  <r>
    <s v="ORD0318"/>
    <d v="2025-04-03T00:00:00"/>
    <x v="4"/>
    <s v="PROD010"/>
    <x v="4"/>
    <n v="2"/>
    <n v="0.15"/>
    <s v="Refunded"/>
    <n v="8"/>
    <n v="240"/>
    <n v="408"/>
    <n v="55.2"/>
    <n v="289.60000000000002"/>
    <s v="South"/>
    <x v="7"/>
  </r>
  <r>
    <s v="ORD0319"/>
    <d v="2025-02-05T00:00:00"/>
    <x v="72"/>
    <s v="PROD004"/>
    <x v="3"/>
    <n v="4"/>
    <n v="0.05"/>
    <s v="Pending"/>
    <n v="20"/>
    <n v="180"/>
    <n v="684"/>
    <n v="54"/>
    <n v="448"/>
    <s v="North"/>
    <x v="0"/>
  </r>
  <r>
    <s v="ORD0320"/>
    <d v="2025-03-20T00:00:00"/>
    <x v="43"/>
    <s v="PROD003"/>
    <x v="3"/>
    <n v="3"/>
    <n v="0"/>
    <s v="Paid"/>
    <n v="15"/>
    <n v="90"/>
    <n v="270"/>
    <n v="25.2"/>
    <n v="179.4"/>
    <s v="East"/>
    <x v="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ORD0001"/>
    <d v="2025-11-27T00:00:00"/>
    <s v="CUST041"/>
    <s v="PROD004"/>
    <s v="Bola"/>
    <n v="3"/>
    <n v="0"/>
    <x v="0"/>
    <n v="15"/>
    <n v="180"/>
    <n v="540"/>
    <n v="54"/>
    <n v="363"/>
    <s v="West"/>
    <s v="Office Chair"/>
    <x v="0"/>
  </r>
  <r>
    <s v="ORD0002"/>
    <d v="2025-10-16T00:00:00"/>
    <s v="CUST041"/>
    <s v="PROD002"/>
    <s v="Daniel"/>
    <n v="1"/>
    <n v="0.1"/>
    <x v="0"/>
    <n v="8"/>
    <n v="600"/>
    <n v="540"/>
    <n v="120"/>
    <n v="412"/>
    <s v="West"/>
    <s v="Smartphone"/>
    <x v="0"/>
  </r>
  <r>
    <s v="ORD0003"/>
    <d v="2025-06-28T00:00:00"/>
    <s v="CUST069"/>
    <s v="PROD004"/>
    <s v="Daniel"/>
    <n v="5"/>
    <n v="0.05"/>
    <x v="0"/>
    <n v="10"/>
    <n v="180"/>
    <n v="855"/>
    <n v="54"/>
    <n v="575"/>
    <s v="West"/>
    <s v="Office Chair"/>
    <x v="0"/>
  </r>
  <r>
    <s v="ORD0004"/>
    <d v="2025-12-27T00:00:00"/>
    <s v="CUST048"/>
    <s v="PROD005"/>
    <s v="Bola"/>
    <n v="2"/>
    <n v="0.1"/>
    <x v="1"/>
    <n v="18"/>
    <n v="320"/>
    <n v="576"/>
    <n v="86.4"/>
    <n v="385.2"/>
    <s v="East"/>
    <s v="Desk"/>
    <x v="1"/>
  </r>
  <r>
    <s v="ORD0005"/>
    <d v="2025-02-23T00:00:00"/>
    <s v="CUST068"/>
    <s v="PROD001"/>
    <s v="Grace"/>
    <n v="5"/>
    <n v="0.05"/>
    <x v="1"/>
    <n v="12"/>
    <n v="850"/>
    <n v="4037.5"/>
    <n v="187"/>
    <n v="3090.5"/>
    <s v="North"/>
    <s v="Laptop"/>
    <x v="2"/>
  </r>
  <r>
    <s v="ORD0006"/>
    <d v="2025-11-06T00:00:00"/>
    <s v="CUST015"/>
    <s v="PROD002"/>
    <s v="Grace"/>
    <n v="5"/>
    <n v="0"/>
    <x v="0"/>
    <n v="20"/>
    <n v="600"/>
    <n v="3000"/>
    <n v="120"/>
    <n v="2380"/>
    <s v="South"/>
    <s v="Smartphone"/>
    <x v="2"/>
  </r>
  <r>
    <s v="ORD0007"/>
    <d v="2025-01-27T00:00:00"/>
    <s v="CUST044"/>
    <s v="PROD004"/>
    <s v="Daniel"/>
    <n v="3"/>
    <n v="0.15"/>
    <x v="0"/>
    <n v="20"/>
    <n v="180"/>
    <n v="459"/>
    <n v="54"/>
    <n v="277"/>
    <s v="West"/>
    <s v="Office Chair"/>
    <x v="1"/>
  </r>
  <r>
    <s v="ORD0008"/>
    <d v="2025-03-08T00:00:00"/>
    <s v="CUST055"/>
    <s v="PROD005"/>
    <s v="Bola"/>
    <n v="1"/>
    <n v="0"/>
    <x v="0"/>
    <n v="10"/>
    <n v="320"/>
    <n v="320"/>
    <n v="86.4"/>
    <n v="223.6"/>
    <s v="West"/>
    <s v="Desk"/>
    <x v="2"/>
  </r>
  <r>
    <s v="ORD0009"/>
    <d v="2025-02-08T00:00:00"/>
    <s v="CUST057"/>
    <s v="PROD009"/>
    <s v="Grace"/>
    <n v="4"/>
    <n v="0.15"/>
    <x v="0"/>
    <n v="18"/>
    <n v="130"/>
    <n v="442"/>
    <n v="33.799999999999997"/>
    <n v="288.8"/>
    <s v="North"/>
    <s v="Air Fryer"/>
    <x v="0"/>
  </r>
  <r>
    <s v="ORD0010"/>
    <d v="2025-03-07T00:00:00"/>
    <s v="CUST005"/>
    <s v="PROD006"/>
    <s v="Daniel"/>
    <n v="5"/>
    <n v="0.15"/>
    <x v="0"/>
    <n v="12"/>
    <n v="210"/>
    <n v="892.5"/>
    <n v="52.5"/>
    <n v="618"/>
    <s v="West"/>
    <s v="Bookshelf"/>
    <x v="2"/>
  </r>
  <r>
    <s v="ORD0011"/>
    <d v="2025-12-08T00:00:00"/>
    <s v="CUST047"/>
    <s v="PROD001"/>
    <s v="Daniel"/>
    <n v="3"/>
    <n v="0"/>
    <x v="0"/>
    <n v="12"/>
    <n v="850"/>
    <n v="2550"/>
    <n v="187"/>
    <n v="1977"/>
    <s v="North"/>
    <s v="Laptop"/>
    <x v="1"/>
  </r>
  <r>
    <s v="ORD0012"/>
    <d v="2025-05-02T00:00:00"/>
    <s v="CUST072"/>
    <s v="PROD007"/>
    <s v="Grace"/>
    <n v="5"/>
    <n v="0"/>
    <x v="1"/>
    <n v="10"/>
    <n v="160"/>
    <n v="800"/>
    <n v="38.4"/>
    <n v="598"/>
    <s v="South"/>
    <s v="Microwave"/>
    <x v="1"/>
  </r>
  <r>
    <s v="ORD0013"/>
    <d v="2025-07-30T00:00:00"/>
    <s v="CUST053"/>
    <s v="PROD001"/>
    <s v="Grace"/>
    <n v="2"/>
    <n v="0.05"/>
    <x v="1"/>
    <n v="12"/>
    <n v="850"/>
    <n v="1615"/>
    <n v="187"/>
    <n v="1229"/>
    <s v="West"/>
    <s v="Laptop"/>
    <x v="1"/>
  </r>
  <r>
    <s v="ORD0014"/>
    <d v="2025-04-24T00:00:00"/>
    <s v="CUST021"/>
    <s v="PROD002"/>
    <s v="Grace"/>
    <n v="4"/>
    <n v="0"/>
    <x v="1"/>
    <n v="15"/>
    <n v="600"/>
    <n v="2400"/>
    <n v="120"/>
    <n v="1905"/>
    <s v="East"/>
    <s v="Smartphone"/>
    <x v="1"/>
  </r>
  <r>
    <s v="ORD0015"/>
    <d v="2025-04-09T00:00:00"/>
    <s v="CUST045"/>
    <s v="PROD005"/>
    <s v="Maya"/>
    <n v="2"/>
    <n v="0"/>
    <x v="0"/>
    <n v="12"/>
    <n v="320"/>
    <n v="640"/>
    <n v="86.4"/>
    <n v="455.2"/>
    <s v="West"/>
    <s v="Desk"/>
    <x v="2"/>
  </r>
  <r>
    <s v="ORD0016"/>
    <d v="2025-07-24T00:00:00"/>
    <s v="CUST036"/>
    <s v="PROD002"/>
    <s v="Kevin"/>
    <n v="3"/>
    <n v="0.05"/>
    <x v="0"/>
    <n v="12"/>
    <n v="600"/>
    <n v="1710"/>
    <n v="120"/>
    <n v="1338"/>
    <s v="East"/>
    <s v="Smartphone"/>
    <x v="0"/>
  </r>
  <r>
    <s v="ORD0017"/>
    <d v="2025-05-16T00:00:00"/>
    <s v="CUST004"/>
    <s v="PROD002"/>
    <s v="Daniel"/>
    <n v="3"/>
    <n v="0"/>
    <x v="0"/>
    <n v="8"/>
    <n v="600"/>
    <n v="1800"/>
    <n v="120"/>
    <n v="1432"/>
    <s v="West"/>
    <s v="Smartphone"/>
    <x v="2"/>
  </r>
  <r>
    <s v="ORD0018"/>
    <d v="2025-09-19T00:00:00"/>
    <s v="CUST077"/>
    <s v="PROD007"/>
    <s v="Daniel"/>
    <n v="3"/>
    <n v="0.05"/>
    <x v="0"/>
    <n v="15"/>
    <n v="160"/>
    <n v="456"/>
    <n v="38.4"/>
    <n v="325.8"/>
    <s v="South"/>
    <s v="Microwave"/>
    <x v="2"/>
  </r>
  <r>
    <s v="ORD0019"/>
    <d v="2025-01-01T00:00:00"/>
    <s v="CUST074"/>
    <s v="PROD004"/>
    <s v="Kevin"/>
    <n v="3"/>
    <n v="0"/>
    <x v="0"/>
    <n v="18"/>
    <n v="180"/>
    <n v="540"/>
    <n v="54"/>
    <n v="360"/>
    <s v="West"/>
    <s v="Office Chair"/>
    <x v="0"/>
  </r>
  <r>
    <s v="ORD0020"/>
    <d v="2025-06-19T00:00:00"/>
    <s v="CUST026"/>
    <s v="PROD006"/>
    <s v="Kevin"/>
    <n v="4"/>
    <n v="0"/>
    <x v="2"/>
    <n v="12"/>
    <n v="210"/>
    <n v="840"/>
    <n v="52.5"/>
    <n v="618"/>
    <s v="North"/>
    <s v="Bookshelf"/>
    <x v="0"/>
  </r>
  <r>
    <s v="ORD0021"/>
    <d v="2025-06-17T00:00:00"/>
    <s v="CUST016"/>
    <s v="PROD005"/>
    <s v="Maya"/>
    <n v="5"/>
    <n v="0.05"/>
    <x v="0"/>
    <n v="20"/>
    <n v="320"/>
    <n v="1520"/>
    <n v="86.4"/>
    <n v="1068"/>
    <s v="West"/>
    <s v="Desk"/>
    <x v="0"/>
  </r>
  <r>
    <s v="ORD0022"/>
    <d v="2025-07-14T00:00:00"/>
    <s v="CUST038"/>
    <s v="PROD009"/>
    <s v="Grace"/>
    <n v="2"/>
    <n v="0"/>
    <x v="0"/>
    <n v="18"/>
    <n v="130"/>
    <n v="260"/>
    <n v="33.799999999999997"/>
    <n v="174.4"/>
    <s v="South"/>
    <s v="Air Fryer"/>
    <x v="2"/>
  </r>
  <r>
    <s v="ORD0023"/>
    <d v="2025-06-05T00:00:00"/>
    <s v="CUST073"/>
    <s v="PROD005"/>
    <s v="Bola"/>
    <n v="4"/>
    <n v="0.15"/>
    <x v="1"/>
    <n v="10"/>
    <n v="320"/>
    <n v="1088"/>
    <n v="86.4"/>
    <n v="732.4"/>
    <s v="West"/>
    <s v="Desk"/>
    <x v="0"/>
  </r>
  <r>
    <s v="ORD0024"/>
    <d v="2025-08-15T00:00:00"/>
    <s v="CUST056"/>
    <s v="PROD010"/>
    <s v="Grace"/>
    <n v="5"/>
    <n v="0.05"/>
    <x v="0"/>
    <n v="18"/>
    <n v="240"/>
    <n v="1140"/>
    <n v="55.2"/>
    <n v="846"/>
    <s v="North"/>
    <s v="Vacuum Cleaner"/>
    <x v="1"/>
  </r>
  <r>
    <s v="ORD0025"/>
    <d v="2025-11-21T00:00:00"/>
    <s v="CUST061"/>
    <s v="PROD003"/>
    <s v="Kevin"/>
    <n v="1"/>
    <n v="0.05"/>
    <x v="0"/>
    <n v="12"/>
    <n v="90"/>
    <n v="85.5"/>
    <n v="25.2"/>
    <n v="48.3"/>
    <s v="West"/>
    <s v="Headphones"/>
    <x v="0"/>
  </r>
  <r>
    <s v="ORD0026"/>
    <d v="2025-03-17T00:00:00"/>
    <s v="CUST012"/>
    <s v="PROD004"/>
    <s v="Daniel"/>
    <n v="3"/>
    <n v="0"/>
    <x v="1"/>
    <n v="8"/>
    <n v="180"/>
    <n v="540"/>
    <n v="54"/>
    <n v="370"/>
    <s v="West"/>
    <s v="Office Chair"/>
    <x v="2"/>
  </r>
  <r>
    <s v="ORD0027"/>
    <d v="2025-11-19T00:00:00"/>
    <s v="CUST032"/>
    <s v="PROD008"/>
    <s v="Kevin"/>
    <n v="5"/>
    <n v="0"/>
    <x v="0"/>
    <n v="10"/>
    <n v="70"/>
    <n v="350"/>
    <n v="22.4"/>
    <n v="228"/>
    <s v="North"/>
    <s v="Blender"/>
    <x v="2"/>
  </r>
  <r>
    <s v="ORD0028"/>
    <d v="2025-12-19T00:00:00"/>
    <s v="CUST050"/>
    <s v="PROD008"/>
    <s v="Daniel"/>
    <n v="4"/>
    <n v="0"/>
    <x v="0"/>
    <n v="8"/>
    <n v="70"/>
    <n v="280"/>
    <n v="22.4"/>
    <n v="182.4"/>
    <s v="West"/>
    <s v="Blender"/>
    <x v="2"/>
  </r>
  <r>
    <s v="ORD0029"/>
    <d v="2025-10-13T00:00:00"/>
    <s v="CUST055"/>
    <s v="PROD004"/>
    <s v="Grace"/>
    <n v="2"/>
    <n v="0.15"/>
    <x v="0"/>
    <n v="8"/>
    <n v="180"/>
    <n v="306"/>
    <n v="54"/>
    <n v="190"/>
    <s v="West"/>
    <s v="Office Chair"/>
    <x v="2"/>
  </r>
  <r>
    <s v="ORD0030"/>
    <d v="2025-11-01T00:00:00"/>
    <s v="CUST059"/>
    <s v="PROD003"/>
    <s v="Bola"/>
    <n v="4"/>
    <n v="0.15"/>
    <x v="2"/>
    <n v="15"/>
    <n v="90"/>
    <n v="306"/>
    <n v="25.2"/>
    <n v="190.2"/>
    <s v="North"/>
    <s v="Headphones"/>
    <x v="0"/>
  </r>
  <r>
    <s v="ORD0031"/>
    <d v="2025-03-23T00:00:00"/>
    <s v="CUST079"/>
    <s v="PROD009"/>
    <s v="Maya"/>
    <n v="4"/>
    <n v="0.15"/>
    <x v="0"/>
    <n v="15"/>
    <n v="130"/>
    <n v="442"/>
    <n v="33.799999999999997"/>
    <n v="291.8"/>
    <s v="West"/>
    <s v="Air Fryer"/>
    <x v="1"/>
  </r>
  <r>
    <s v="ORD0032"/>
    <d v="2025-05-03T00:00:00"/>
    <s v="CUST034"/>
    <s v="PROD004"/>
    <s v="Bola"/>
    <n v="3"/>
    <n v="0.15"/>
    <x v="0"/>
    <n v="15"/>
    <n v="180"/>
    <n v="459"/>
    <n v="54"/>
    <n v="282"/>
    <s v="East"/>
    <s v="Office Chair"/>
    <x v="2"/>
  </r>
  <r>
    <s v="ORD0033"/>
    <d v="2025-10-04T00:00:00"/>
    <s v="CUST010"/>
    <s v="PROD005"/>
    <s v="Daniel"/>
    <n v="2"/>
    <n v="0.05"/>
    <x v="0"/>
    <n v="10"/>
    <n v="320"/>
    <n v="608"/>
    <n v="86.4"/>
    <n v="425.2"/>
    <s v="West"/>
    <s v="Desk"/>
    <x v="0"/>
  </r>
  <r>
    <s v="ORD0034"/>
    <d v="2025-02-02T00:00:00"/>
    <s v="CUST020"/>
    <s v="PROD004"/>
    <s v="Maya"/>
    <n v="4"/>
    <n v="0"/>
    <x v="0"/>
    <n v="15"/>
    <n v="180"/>
    <n v="720"/>
    <n v="54"/>
    <n v="489"/>
    <s v="South"/>
    <s v="Office Chair"/>
    <x v="0"/>
  </r>
  <r>
    <s v="ORD0035"/>
    <d v="2025-08-04T00:00:00"/>
    <s v="CUST043"/>
    <s v="PROD009"/>
    <s v="Maya"/>
    <n v="4"/>
    <n v="0.1"/>
    <x v="0"/>
    <n v="18"/>
    <n v="130"/>
    <n v="468"/>
    <n v="33.799999999999997"/>
    <n v="314.8"/>
    <s v="South"/>
    <s v="Air Fryer"/>
    <x v="2"/>
  </r>
  <r>
    <s v="ORD0036"/>
    <d v="2025-06-30T00:00:00"/>
    <s v="CUST003"/>
    <s v="PROD010"/>
    <s v="Bola"/>
    <n v="4"/>
    <n v="0.1"/>
    <x v="0"/>
    <n v="15"/>
    <n v="240"/>
    <n v="864"/>
    <n v="55.2"/>
    <n v="628.20000000000005"/>
    <s v="West"/>
    <s v="Vacuum Cleaner"/>
    <x v="0"/>
  </r>
  <r>
    <s v="ORD0037"/>
    <d v="2025-09-07T00:00:00"/>
    <s v="CUST054"/>
    <s v="PROD009"/>
    <s v="Grace"/>
    <n v="5"/>
    <n v="0.15"/>
    <x v="1"/>
    <n v="12"/>
    <n v="130"/>
    <n v="552.5"/>
    <n v="33.799999999999997"/>
    <n v="371.5"/>
    <s v="South"/>
    <s v="Air Fryer"/>
    <x v="2"/>
  </r>
  <r>
    <s v="ORD0038"/>
    <d v="2025-12-14T00:00:00"/>
    <s v="CUST056"/>
    <s v="PROD008"/>
    <s v="Maya"/>
    <n v="1"/>
    <n v="0.1"/>
    <x v="0"/>
    <n v="20"/>
    <n v="70"/>
    <n v="63"/>
    <n v="22.4"/>
    <n v="20.6"/>
    <s v="North"/>
    <s v="Blender"/>
    <x v="1"/>
  </r>
  <r>
    <s v="ORD0039"/>
    <d v="2025-07-21T00:00:00"/>
    <s v="CUST022"/>
    <s v="PROD008"/>
    <s v="Kevin"/>
    <n v="2"/>
    <n v="0.15"/>
    <x v="0"/>
    <n v="18"/>
    <n v="70"/>
    <n v="119"/>
    <n v="22.4"/>
    <n v="56.2"/>
    <s v="South"/>
    <s v="Blender"/>
    <x v="0"/>
  </r>
  <r>
    <s v="ORD0040"/>
    <d v="2025-04-04T00:00:00"/>
    <s v="CUST004"/>
    <s v="PROD002"/>
    <s v="Daniel"/>
    <n v="4"/>
    <n v="0"/>
    <x v="1"/>
    <n v="12"/>
    <n v="600"/>
    <n v="2400"/>
    <n v="120"/>
    <n v="1908"/>
    <s v="West"/>
    <s v="Smartphone"/>
    <x v="2"/>
  </r>
  <r>
    <s v="ORD0041"/>
    <d v="2025-07-14T00:00:00"/>
    <s v="CUST049"/>
    <s v="PROD006"/>
    <s v="Bola"/>
    <n v="2"/>
    <n v="0.1"/>
    <x v="0"/>
    <n v="15"/>
    <n v="210"/>
    <n v="378"/>
    <n v="52.5"/>
    <n v="258"/>
    <s v="East"/>
    <s v="Bookshelf"/>
    <x v="1"/>
  </r>
  <r>
    <s v="ORD0042"/>
    <d v="2025-01-27T00:00:00"/>
    <s v="CUST033"/>
    <s v="PROD002"/>
    <s v="Bola"/>
    <n v="4"/>
    <n v="0"/>
    <x v="0"/>
    <n v="10"/>
    <n v="600"/>
    <n v="2400"/>
    <n v="120"/>
    <n v="1910"/>
    <s v="North"/>
    <s v="Smartphone"/>
    <x v="0"/>
  </r>
  <r>
    <s v="ORD0043"/>
    <d v="2025-01-11T00:00:00"/>
    <s v="CUST009"/>
    <s v="PROD001"/>
    <s v="Kevin"/>
    <n v="1"/>
    <n v="0"/>
    <x v="0"/>
    <n v="10"/>
    <n v="850"/>
    <n v="850"/>
    <n v="187"/>
    <n v="653"/>
    <s v="East"/>
    <s v="Laptop"/>
    <x v="2"/>
  </r>
  <r>
    <s v="ORD0044"/>
    <d v="2025-04-22T00:00:00"/>
    <s v="CUST031"/>
    <s v="PROD003"/>
    <s v="Maya"/>
    <n v="4"/>
    <n v="0"/>
    <x v="0"/>
    <n v="20"/>
    <n v="90"/>
    <n v="360"/>
    <n v="25.2"/>
    <n v="239.2"/>
    <s v="South"/>
    <s v="Headphones"/>
    <x v="2"/>
  </r>
  <r>
    <s v="ORD0045"/>
    <d v="2025-02-28T00:00:00"/>
    <s v="CUST033"/>
    <s v="PROD006"/>
    <s v="Grace"/>
    <n v="2"/>
    <n v="0.15"/>
    <x v="0"/>
    <n v="12"/>
    <n v="210"/>
    <n v="357"/>
    <n v="52.5"/>
    <n v="240"/>
    <s v="North"/>
    <s v="Bookshelf"/>
    <x v="0"/>
  </r>
  <r>
    <s v="ORD0046"/>
    <d v="2025-07-12T00:00:00"/>
    <s v="CUST014"/>
    <s v="PROD010"/>
    <s v="Maya"/>
    <n v="1"/>
    <n v="0.05"/>
    <x v="0"/>
    <n v="20"/>
    <n v="240"/>
    <n v="228"/>
    <n v="55.2"/>
    <n v="152.80000000000001"/>
    <s v="South"/>
    <s v="Vacuum Cleaner"/>
    <x v="2"/>
  </r>
  <r>
    <s v="ORD0047"/>
    <d v="2025-06-04T00:00:00"/>
    <s v="CUST026"/>
    <s v="PROD002"/>
    <s v="Kevin"/>
    <n v="5"/>
    <n v="0"/>
    <x v="0"/>
    <n v="8"/>
    <n v="600"/>
    <n v="3000"/>
    <n v="120"/>
    <n v="2392"/>
    <s v="North"/>
    <s v="Smartphone"/>
    <x v="0"/>
  </r>
  <r>
    <s v="ORD0048"/>
    <d v="2025-07-09T00:00:00"/>
    <s v="CUST073"/>
    <s v="PROD001"/>
    <s v="Daniel"/>
    <n v="3"/>
    <n v="0.15"/>
    <x v="0"/>
    <n v="18"/>
    <n v="850"/>
    <n v="2167.5"/>
    <n v="187"/>
    <n v="1588.5"/>
    <s v="West"/>
    <s v="Laptop"/>
    <x v="0"/>
  </r>
  <r>
    <s v="ORD0049"/>
    <d v="2025-07-05T00:00:00"/>
    <s v="CUST044"/>
    <s v="PROD001"/>
    <s v="Maya"/>
    <n v="4"/>
    <n v="0.1"/>
    <x v="0"/>
    <n v="20"/>
    <n v="850"/>
    <n v="3060"/>
    <n v="187"/>
    <n v="2292"/>
    <s v="West"/>
    <s v="Laptop"/>
    <x v="1"/>
  </r>
  <r>
    <s v="ORD0050"/>
    <d v="2025-05-19T00:00:00"/>
    <s v="CUST020"/>
    <s v="PROD007"/>
    <s v="Kevin"/>
    <n v="2"/>
    <n v="0.15"/>
    <x v="2"/>
    <n v="18"/>
    <n v="160"/>
    <n v="272"/>
    <n v="38.4"/>
    <n v="177.2"/>
    <s v="South"/>
    <s v="Microwave"/>
    <x v="0"/>
  </r>
  <r>
    <s v="ORD0051"/>
    <d v="2025-05-06T00:00:00"/>
    <s v="CUST062"/>
    <s v="PROD008"/>
    <s v="Daniel"/>
    <n v="4"/>
    <n v="0.15"/>
    <x v="0"/>
    <n v="12"/>
    <n v="70"/>
    <n v="238"/>
    <n v="22.4"/>
    <n v="136.4"/>
    <s v="West"/>
    <s v="Blender"/>
    <x v="2"/>
  </r>
  <r>
    <s v="ORD0052"/>
    <d v="2025-07-14T00:00:00"/>
    <s v="CUST058"/>
    <s v="PROD004"/>
    <s v="Bola"/>
    <n v="4"/>
    <n v="0.15"/>
    <x v="0"/>
    <n v="8"/>
    <n v="180"/>
    <n v="612"/>
    <n v="54"/>
    <n v="388"/>
    <s v="South"/>
    <s v="Office Chair"/>
    <x v="2"/>
  </r>
  <r>
    <s v="ORD0053"/>
    <d v="2025-05-13T00:00:00"/>
    <s v="CUST064"/>
    <s v="PROD006"/>
    <s v="Bola"/>
    <n v="2"/>
    <n v="0.1"/>
    <x v="0"/>
    <n v="12"/>
    <n v="210"/>
    <n v="378"/>
    <n v="52.5"/>
    <n v="261"/>
    <s v="East"/>
    <s v="Bookshelf"/>
    <x v="2"/>
  </r>
  <r>
    <s v="ORD0054"/>
    <d v="2025-04-08T00:00:00"/>
    <s v="CUST077"/>
    <s v="PROD005"/>
    <s v="Daniel"/>
    <n v="5"/>
    <n v="0"/>
    <x v="0"/>
    <n v="10"/>
    <n v="320"/>
    <n v="1600"/>
    <n v="86.4"/>
    <n v="1158"/>
    <s v="South"/>
    <s v="Desk"/>
    <x v="2"/>
  </r>
  <r>
    <s v="ORD0055"/>
    <d v="2025-11-27T00:00:00"/>
    <s v="CUST053"/>
    <s v="PROD008"/>
    <s v="Maya"/>
    <n v="5"/>
    <n v="0"/>
    <x v="0"/>
    <n v="15"/>
    <n v="70"/>
    <n v="350"/>
    <n v="22.4"/>
    <n v="223"/>
    <s v="West"/>
    <s v="Blender"/>
    <x v="1"/>
  </r>
  <r>
    <s v="ORD0056"/>
    <d v="2025-05-05T00:00:00"/>
    <s v="CUST003"/>
    <s v="PROD002"/>
    <s v="Bola"/>
    <n v="3"/>
    <n v="0"/>
    <x v="0"/>
    <n v="20"/>
    <n v="600"/>
    <n v="1800"/>
    <n v="120"/>
    <n v="1420"/>
    <s v="West"/>
    <s v="Smartphone"/>
    <x v="0"/>
  </r>
  <r>
    <s v="ORD0057"/>
    <d v="2025-08-06T00:00:00"/>
    <s v="CUST075"/>
    <s v="PROD006"/>
    <s v="Kevin"/>
    <n v="4"/>
    <n v="0.15"/>
    <x v="0"/>
    <n v="12"/>
    <n v="210"/>
    <n v="714"/>
    <n v="52.5"/>
    <n v="492"/>
    <s v="South"/>
    <s v="Bookshelf"/>
    <x v="1"/>
  </r>
  <r>
    <s v="ORD0058"/>
    <d v="2025-03-03T00:00:00"/>
    <s v="CUST046"/>
    <s v="PROD008"/>
    <s v="Grace"/>
    <n v="3"/>
    <n v="0.05"/>
    <x v="0"/>
    <n v="12"/>
    <n v="70"/>
    <n v="199.5"/>
    <n v="22.4"/>
    <n v="120.30000000000001"/>
    <s v="North"/>
    <s v="Blender"/>
    <x v="2"/>
  </r>
  <r>
    <s v="ORD0059"/>
    <d v="2025-09-05T00:00:00"/>
    <s v="CUST016"/>
    <s v="PROD009"/>
    <s v="Bola"/>
    <n v="2"/>
    <n v="0"/>
    <x v="0"/>
    <n v="20"/>
    <n v="130"/>
    <n v="260"/>
    <n v="33.799999999999997"/>
    <n v="172.4"/>
    <s v="West"/>
    <s v="Air Fryer"/>
    <x v="0"/>
  </r>
  <r>
    <s v="ORD0060"/>
    <d v="2025-04-10T00:00:00"/>
    <s v="CUST076"/>
    <s v="PROD009"/>
    <s v="Bola"/>
    <n v="5"/>
    <n v="0.05"/>
    <x v="2"/>
    <n v="10"/>
    <n v="130"/>
    <n v="617.5"/>
    <n v="33.799999999999997"/>
    <n v="438.5"/>
    <s v="South"/>
    <s v="Air Fryer"/>
    <x v="1"/>
  </r>
  <r>
    <s v="ORD0061"/>
    <d v="2025-03-06T00:00:00"/>
    <s v="CUST047"/>
    <s v="PROD003"/>
    <s v="Bola"/>
    <n v="3"/>
    <n v="0"/>
    <x v="0"/>
    <n v="8"/>
    <n v="90"/>
    <n v="270"/>
    <n v="25.2"/>
    <n v="186.4"/>
    <s v="North"/>
    <s v="Headphones"/>
    <x v="1"/>
  </r>
  <r>
    <s v="ORD0062"/>
    <d v="2025-09-09T00:00:00"/>
    <s v="CUST007"/>
    <s v="PROD009"/>
    <s v="Daniel"/>
    <n v="3"/>
    <n v="0"/>
    <x v="0"/>
    <n v="8"/>
    <n v="130"/>
    <n v="390"/>
    <n v="33.799999999999997"/>
    <n v="280.60000000000002"/>
    <s v="East"/>
    <s v="Air Fryer"/>
    <x v="2"/>
  </r>
  <r>
    <s v="ORD0063"/>
    <d v="2025-04-05T00:00:00"/>
    <s v="CUST074"/>
    <s v="PROD005"/>
    <s v="Daniel"/>
    <n v="4"/>
    <n v="0.1"/>
    <x v="0"/>
    <n v="12"/>
    <n v="320"/>
    <n v="1152"/>
    <n v="86.4"/>
    <n v="794.4"/>
    <s v="West"/>
    <s v="Desk"/>
    <x v="0"/>
  </r>
  <r>
    <s v="ORD0064"/>
    <d v="2025-10-23T00:00:00"/>
    <s v="CUST062"/>
    <s v="PROD002"/>
    <s v="Daniel"/>
    <n v="1"/>
    <n v="0.1"/>
    <x v="0"/>
    <n v="10"/>
    <n v="600"/>
    <n v="540"/>
    <n v="120"/>
    <n v="410"/>
    <s v="West"/>
    <s v="Smartphone"/>
    <x v="2"/>
  </r>
  <r>
    <s v="ORD0065"/>
    <d v="2025-03-02T00:00:00"/>
    <s v="CUST020"/>
    <s v="PROD010"/>
    <s v="Kevin"/>
    <n v="3"/>
    <n v="0"/>
    <x v="2"/>
    <n v="15"/>
    <n v="240"/>
    <n v="720"/>
    <n v="55.2"/>
    <n v="539.4"/>
    <s v="South"/>
    <s v="Vacuum Cleaner"/>
    <x v="0"/>
  </r>
  <r>
    <s v="ORD0066"/>
    <d v="2025-07-14T00:00:00"/>
    <s v="CUST078"/>
    <s v="PROD010"/>
    <s v="Maya"/>
    <n v="5"/>
    <n v="0"/>
    <x v="0"/>
    <n v="15"/>
    <n v="240"/>
    <n v="1200"/>
    <n v="55.2"/>
    <n v="909"/>
    <s v="South"/>
    <s v="Vacuum Cleaner"/>
    <x v="1"/>
  </r>
  <r>
    <s v="ORD0067"/>
    <d v="2025-01-31T00:00:00"/>
    <s v="CUST039"/>
    <s v="PROD010"/>
    <s v="Kevin"/>
    <n v="4"/>
    <n v="0.05"/>
    <x v="0"/>
    <n v="20"/>
    <n v="240"/>
    <n v="912"/>
    <n v="55.2"/>
    <n v="671.2"/>
    <s v="East"/>
    <s v="Vacuum Cleaner"/>
    <x v="1"/>
  </r>
  <r>
    <s v="ORD0068"/>
    <d v="2025-03-22T00:00:00"/>
    <s v="CUST013"/>
    <s v="PROD004"/>
    <s v="Grace"/>
    <n v="2"/>
    <n v="0.05"/>
    <x v="0"/>
    <n v="10"/>
    <n v="180"/>
    <n v="342"/>
    <n v="54"/>
    <n v="224"/>
    <s v="East"/>
    <s v="Office Chair"/>
    <x v="1"/>
  </r>
  <r>
    <s v="ORD0069"/>
    <d v="2025-12-19T00:00:00"/>
    <s v="CUST071"/>
    <s v="PROD002"/>
    <s v="Kevin"/>
    <n v="2"/>
    <n v="0"/>
    <x v="0"/>
    <n v="15"/>
    <n v="600"/>
    <n v="1200"/>
    <n v="120"/>
    <n v="945"/>
    <s v="North"/>
    <s v="Smartphone"/>
    <x v="2"/>
  </r>
  <r>
    <s v="ORD0070"/>
    <d v="2025-12-26T00:00:00"/>
    <s v="CUST038"/>
    <s v="PROD001"/>
    <s v="Maya"/>
    <n v="2"/>
    <n v="0.05"/>
    <x v="0"/>
    <n v="8"/>
    <n v="850"/>
    <n v="1615"/>
    <n v="187"/>
    <n v="1233"/>
    <s v="South"/>
    <s v="Laptop"/>
    <x v="2"/>
  </r>
  <r>
    <s v="ORD0071"/>
    <d v="2025-10-06T00:00:00"/>
    <s v="CUST030"/>
    <s v="PROD005"/>
    <s v="Grace"/>
    <n v="5"/>
    <n v="0"/>
    <x v="0"/>
    <n v="20"/>
    <n v="320"/>
    <n v="1600"/>
    <n v="86.4"/>
    <n v="1148"/>
    <s v="North"/>
    <s v="Desk"/>
    <x v="2"/>
  </r>
  <r>
    <s v="ORD0072"/>
    <d v="2025-06-07T00:00:00"/>
    <s v="CUST020"/>
    <s v="PROD005"/>
    <s v="Kevin"/>
    <n v="2"/>
    <n v="0"/>
    <x v="0"/>
    <n v="20"/>
    <n v="320"/>
    <n v="640"/>
    <n v="86.4"/>
    <n v="447.2"/>
    <s v="South"/>
    <s v="Desk"/>
    <x v="0"/>
  </r>
  <r>
    <s v="ORD0073"/>
    <d v="2025-06-05T00:00:00"/>
    <s v="CUST073"/>
    <s v="PROD005"/>
    <s v="Maya"/>
    <n v="4"/>
    <n v="0"/>
    <x v="0"/>
    <n v="12"/>
    <n v="320"/>
    <n v="1280"/>
    <n v="86.4"/>
    <n v="922.4"/>
    <s v="West"/>
    <s v="Desk"/>
    <x v="0"/>
  </r>
  <r>
    <s v="ORD0074"/>
    <d v="2025-01-21T00:00:00"/>
    <s v="CUST065"/>
    <s v="PROD009"/>
    <s v="Maya"/>
    <n v="4"/>
    <n v="0.1"/>
    <x v="0"/>
    <n v="20"/>
    <n v="130"/>
    <n v="468"/>
    <n v="33.799999999999997"/>
    <n v="312.8"/>
    <s v="North"/>
    <s v="Air Fryer"/>
    <x v="2"/>
  </r>
  <r>
    <s v="ORD0075"/>
    <d v="2025-12-12T00:00:00"/>
    <s v="CUST042"/>
    <s v="PROD010"/>
    <s v="Kevin"/>
    <n v="3"/>
    <n v="0"/>
    <x v="0"/>
    <n v="18"/>
    <n v="240"/>
    <n v="720"/>
    <n v="55.2"/>
    <n v="536.4"/>
    <s v="West"/>
    <s v="Vacuum Cleaner"/>
    <x v="0"/>
  </r>
  <r>
    <s v="ORD0076"/>
    <d v="2025-03-31T00:00:00"/>
    <s v="CUST003"/>
    <s v="PROD005"/>
    <s v="Maya"/>
    <n v="5"/>
    <n v="0"/>
    <x v="0"/>
    <n v="18"/>
    <n v="320"/>
    <n v="1600"/>
    <n v="86.4"/>
    <n v="1150"/>
    <s v="West"/>
    <s v="Desk"/>
    <x v="0"/>
  </r>
  <r>
    <s v="ORD0077"/>
    <d v="2025-09-09T00:00:00"/>
    <s v="CUST057"/>
    <s v="PROD005"/>
    <s v="Daniel"/>
    <n v="2"/>
    <n v="0.15"/>
    <x v="0"/>
    <n v="15"/>
    <n v="320"/>
    <n v="544"/>
    <n v="86.4"/>
    <n v="356.2"/>
    <s v="North"/>
    <s v="Desk"/>
    <x v="0"/>
  </r>
  <r>
    <s v="ORD0078"/>
    <d v="2025-03-24T00:00:00"/>
    <s v="CUST045"/>
    <s v="PROD007"/>
    <s v="Bola"/>
    <n v="3"/>
    <n v="0.05"/>
    <x v="0"/>
    <n v="15"/>
    <n v="160"/>
    <n v="456"/>
    <n v="38.4"/>
    <n v="325.8"/>
    <s v="West"/>
    <s v="Microwave"/>
    <x v="2"/>
  </r>
  <r>
    <s v="ORD0079"/>
    <d v="2025-02-15T00:00:00"/>
    <s v="CUST064"/>
    <s v="PROD005"/>
    <s v="Bola"/>
    <n v="4"/>
    <n v="0.15"/>
    <x v="0"/>
    <n v="12"/>
    <n v="320"/>
    <n v="1088"/>
    <n v="86.4"/>
    <n v="730.4"/>
    <s v="East"/>
    <s v="Desk"/>
    <x v="2"/>
  </r>
  <r>
    <s v="ORD0080"/>
    <d v="2025-01-01T00:00:00"/>
    <s v="CUST042"/>
    <s v="PROD002"/>
    <s v="Kevin"/>
    <n v="4"/>
    <n v="0.15"/>
    <x v="1"/>
    <n v="15"/>
    <n v="600"/>
    <n v="2040"/>
    <n v="120"/>
    <n v="1545"/>
    <s v="West"/>
    <s v="Smartphone"/>
    <x v="0"/>
  </r>
  <r>
    <s v="ORD0081"/>
    <d v="2025-09-13T00:00:00"/>
    <s v="CUST053"/>
    <s v="PROD001"/>
    <s v="Maya"/>
    <n v="2"/>
    <n v="0.15"/>
    <x v="0"/>
    <n v="8"/>
    <n v="850"/>
    <n v="1445"/>
    <n v="187"/>
    <n v="1063"/>
    <s v="West"/>
    <s v="Laptop"/>
    <x v="1"/>
  </r>
  <r>
    <s v="ORD0082"/>
    <d v="2025-08-13T00:00:00"/>
    <s v="CUST027"/>
    <s v="PROD005"/>
    <s v="Maya"/>
    <n v="5"/>
    <n v="0"/>
    <x v="1"/>
    <n v="8"/>
    <n v="320"/>
    <n v="1600"/>
    <n v="86.4"/>
    <n v="1160"/>
    <s v="East"/>
    <s v="Desk"/>
    <x v="2"/>
  </r>
  <r>
    <s v="ORD0083"/>
    <d v="2025-01-08T00:00:00"/>
    <s v="CUST004"/>
    <s v="PROD010"/>
    <s v="Kevin"/>
    <n v="2"/>
    <n v="0"/>
    <x v="0"/>
    <n v="15"/>
    <n v="240"/>
    <n v="480"/>
    <n v="55.2"/>
    <n v="354.6"/>
    <s v="West"/>
    <s v="Vacuum Cleaner"/>
    <x v="2"/>
  </r>
  <r>
    <s v="ORD0084"/>
    <d v="2025-11-28T00:00:00"/>
    <s v="CUST012"/>
    <s v="PROD004"/>
    <s v="Grace"/>
    <n v="1"/>
    <n v="0.1"/>
    <x v="2"/>
    <n v="15"/>
    <n v="180"/>
    <n v="162"/>
    <n v="54"/>
    <n v="93"/>
    <s v="West"/>
    <s v="Office Chair"/>
    <x v="2"/>
  </r>
  <r>
    <s v="ORD0085"/>
    <d v="2025-08-30T00:00:00"/>
    <s v="CUST038"/>
    <s v="PROD009"/>
    <s v="Grace"/>
    <n v="3"/>
    <n v="0.1"/>
    <x v="1"/>
    <n v="15"/>
    <n v="130"/>
    <n v="351"/>
    <n v="33.799999999999997"/>
    <n v="234.60000000000002"/>
    <s v="South"/>
    <s v="Air Fryer"/>
    <x v="2"/>
  </r>
  <r>
    <s v="ORD0086"/>
    <d v="2025-09-18T00:00:00"/>
    <s v="CUST071"/>
    <s v="PROD003"/>
    <s v="Grace"/>
    <n v="4"/>
    <n v="0"/>
    <x v="1"/>
    <n v="8"/>
    <n v="90"/>
    <n v="360"/>
    <n v="25.2"/>
    <n v="251.2"/>
    <s v="North"/>
    <s v="Headphones"/>
    <x v="2"/>
  </r>
  <r>
    <s v="ORD0087"/>
    <d v="2025-01-02T00:00:00"/>
    <s v="CUST036"/>
    <s v="PROD007"/>
    <s v="Bola"/>
    <n v="3"/>
    <n v="0.15"/>
    <x v="0"/>
    <n v="20"/>
    <n v="160"/>
    <n v="408"/>
    <n v="38.4"/>
    <n v="272.8"/>
    <s v="East"/>
    <s v="Microwave"/>
    <x v="0"/>
  </r>
  <r>
    <s v="ORD0088"/>
    <d v="2025-08-17T00:00:00"/>
    <s v="CUST039"/>
    <s v="PROD010"/>
    <s v="Kevin"/>
    <n v="5"/>
    <n v="0.1"/>
    <x v="1"/>
    <n v="15"/>
    <n v="240"/>
    <n v="1080"/>
    <n v="55.2"/>
    <n v="789"/>
    <s v="East"/>
    <s v="Vacuum Cleaner"/>
    <x v="1"/>
  </r>
  <r>
    <s v="ORD0089"/>
    <d v="2025-06-14T00:00:00"/>
    <s v="CUST045"/>
    <s v="PROD006"/>
    <s v="Grace"/>
    <n v="5"/>
    <n v="0.15"/>
    <x v="0"/>
    <n v="20"/>
    <n v="210"/>
    <n v="892.5"/>
    <n v="52.5"/>
    <n v="610"/>
    <s v="West"/>
    <s v="Bookshelf"/>
    <x v="2"/>
  </r>
  <r>
    <s v="ORD0090"/>
    <d v="2025-07-30T00:00:00"/>
    <s v="CUST031"/>
    <s v="PROD010"/>
    <s v="Daniel"/>
    <n v="4"/>
    <n v="0"/>
    <x v="1"/>
    <n v="12"/>
    <n v="240"/>
    <n v="960"/>
    <n v="55.2"/>
    <n v="727.2"/>
    <s v="South"/>
    <s v="Vacuum Cleaner"/>
    <x v="2"/>
  </r>
  <r>
    <s v="ORD0091"/>
    <d v="2025-01-19T00:00:00"/>
    <s v="CUST061"/>
    <s v="PROD007"/>
    <s v="Grace"/>
    <n v="4"/>
    <n v="0"/>
    <x v="0"/>
    <n v="18"/>
    <n v="160"/>
    <n v="640"/>
    <n v="38.4"/>
    <n v="468.4"/>
    <s v="West"/>
    <s v="Microwave"/>
    <x v="0"/>
  </r>
  <r>
    <s v="ORD0092"/>
    <d v="2025-08-22T00:00:00"/>
    <s v="CUST076"/>
    <s v="PROD006"/>
    <s v="Daniel"/>
    <n v="1"/>
    <n v="0.1"/>
    <x v="0"/>
    <n v="20"/>
    <n v="210"/>
    <n v="189"/>
    <n v="52.5"/>
    <n v="116.5"/>
    <s v="South"/>
    <s v="Bookshelf"/>
    <x v="1"/>
  </r>
  <r>
    <s v="ORD0093"/>
    <d v="2025-05-16T00:00:00"/>
    <s v="CUST019"/>
    <s v="PROD007"/>
    <s v="Bola"/>
    <n v="2"/>
    <n v="0"/>
    <x v="0"/>
    <n v="18"/>
    <n v="160"/>
    <n v="320"/>
    <n v="38.4"/>
    <n v="225.2"/>
    <s v="West"/>
    <s v="Microwave"/>
    <x v="1"/>
  </r>
  <r>
    <s v="ORD0094"/>
    <d v="2025-06-12T00:00:00"/>
    <s v="CUST051"/>
    <s v="PROD002"/>
    <s v="Maya"/>
    <n v="3"/>
    <n v="0.15"/>
    <x v="0"/>
    <n v="18"/>
    <n v="600"/>
    <n v="1530"/>
    <n v="120"/>
    <n v="1152"/>
    <s v="East"/>
    <s v="Smartphone"/>
    <x v="1"/>
  </r>
  <r>
    <s v="ORD0095"/>
    <d v="2025-05-28T00:00:00"/>
    <s v="CUST005"/>
    <s v="PROD010"/>
    <s v="Grace"/>
    <n v="1"/>
    <n v="0"/>
    <x v="0"/>
    <n v="20"/>
    <n v="240"/>
    <n v="240"/>
    <n v="55.2"/>
    <n v="164.8"/>
    <s v="West"/>
    <s v="Vacuum Cleaner"/>
    <x v="2"/>
  </r>
  <r>
    <s v="ORD0096"/>
    <d v="2025-12-22T00:00:00"/>
    <s v="CUST012"/>
    <s v="PROD007"/>
    <s v="Bola"/>
    <n v="1"/>
    <n v="0"/>
    <x v="0"/>
    <n v="8"/>
    <n v="160"/>
    <n v="160"/>
    <n v="38.4"/>
    <n v="113.6"/>
    <s v="West"/>
    <s v="Microwave"/>
    <x v="2"/>
  </r>
  <r>
    <s v="ORD0097"/>
    <d v="2025-08-09T00:00:00"/>
    <s v="CUST006"/>
    <s v="PROD006"/>
    <s v="Grace"/>
    <n v="1"/>
    <n v="0.05"/>
    <x v="0"/>
    <n v="10"/>
    <n v="210"/>
    <n v="199.5"/>
    <n v="52.5"/>
    <n v="137"/>
    <s v="North"/>
    <s v="Bookshelf"/>
    <x v="0"/>
  </r>
  <r>
    <s v="ORD0098"/>
    <d v="2025-02-10T00:00:00"/>
    <s v="CUST068"/>
    <s v="PROD007"/>
    <s v="Kevin"/>
    <n v="5"/>
    <n v="0"/>
    <x v="0"/>
    <n v="15"/>
    <n v="160"/>
    <n v="800"/>
    <n v="38.4"/>
    <n v="593"/>
    <s v="North"/>
    <s v="Microwave"/>
    <x v="2"/>
  </r>
  <r>
    <s v="ORD0099"/>
    <d v="2025-08-25T00:00:00"/>
    <s v="CUST080"/>
    <s v="PROD004"/>
    <s v="Bola"/>
    <n v="4"/>
    <n v="0.15"/>
    <x v="0"/>
    <n v="15"/>
    <n v="180"/>
    <n v="612"/>
    <n v="54"/>
    <n v="381"/>
    <s v="East"/>
    <s v="Office Chair"/>
    <x v="2"/>
  </r>
  <r>
    <s v="ORD0100"/>
    <d v="2025-03-22T00:00:00"/>
    <s v="CUST033"/>
    <s v="PROD001"/>
    <s v="Daniel"/>
    <n v="4"/>
    <n v="0.05"/>
    <x v="0"/>
    <n v="15"/>
    <n v="850"/>
    <n v="3230"/>
    <n v="187"/>
    <n v="2467"/>
    <s v="North"/>
    <s v="Laptop"/>
    <x v="0"/>
  </r>
  <r>
    <s v="ORD0101"/>
    <d v="2025-08-22T00:00:00"/>
    <s v="CUST045"/>
    <s v="PROD010"/>
    <s v="Bola"/>
    <n v="3"/>
    <n v="0.1"/>
    <x v="0"/>
    <n v="10"/>
    <n v="240"/>
    <n v="648"/>
    <n v="55.2"/>
    <n v="472.4"/>
    <s v="West"/>
    <s v="Vacuum Cleaner"/>
    <x v="2"/>
  </r>
  <r>
    <s v="ORD0102"/>
    <d v="2025-07-03T00:00:00"/>
    <s v="CUST050"/>
    <s v="PROD008"/>
    <s v="Kevin"/>
    <n v="1"/>
    <n v="0"/>
    <x v="0"/>
    <n v="12"/>
    <n v="70"/>
    <n v="70"/>
    <n v="22.4"/>
    <n v="35.6"/>
    <s v="West"/>
    <s v="Blender"/>
    <x v="2"/>
  </r>
  <r>
    <s v="ORD0103"/>
    <d v="2025-12-18T00:00:00"/>
    <s v="CUST038"/>
    <s v="PROD001"/>
    <s v="Daniel"/>
    <n v="4"/>
    <n v="0.05"/>
    <x v="0"/>
    <n v="18"/>
    <n v="850"/>
    <n v="3230"/>
    <n v="187"/>
    <n v="2464"/>
    <s v="South"/>
    <s v="Laptop"/>
    <x v="2"/>
  </r>
  <r>
    <s v="ORD0104"/>
    <d v="2025-04-23T00:00:00"/>
    <s v="CUST064"/>
    <s v="PROD005"/>
    <s v="Grace"/>
    <n v="2"/>
    <n v="0.15"/>
    <x v="1"/>
    <n v="18"/>
    <n v="320"/>
    <n v="544"/>
    <n v="86.4"/>
    <n v="353.2"/>
    <s v="East"/>
    <s v="Desk"/>
    <x v="2"/>
  </r>
  <r>
    <s v="ORD0105"/>
    <d v="2025-08-14T00:00:00"/>
    <s v="CUST033"/>
    <s v="PROD003"/>
    <s v="Daniel"/>
    <n v="1"/>
    <n v="0"/>
    <x v="0"/>
    <n v="18"/>
    <n v="90"/>
    <n v="90"/>
    <n v="25.2"/>
    <n v="46.8"/>
    <s v="North"/>
    <s v="Headphones"/>
    <x v="0"/>
  </r>
  <r>
    <s v="ORD0106"/>
    <d v="2025-08-01T00:00:00"/>
    <s v="CUST047"/>
    <s v="PROD003"/>
    <s v="Grace"/>
    <n v="1"/>
    <n v="0.05"/>
    <x v="0"/>
    <n v="10"/>
    <n v="90"/>
    <n v="85.5"/>
    <n v="25.2"/>
    <n v="50.3"/>
    <s v="North"/>
    <s v="Headphones"/>
    <x v="1"/>
  </r>
  <r>
    <s v="ORD0107"/>
    <d v="2025-05-20T00:00:00"/>
    <s v="CUST017"/>
    <s v="PROD009"/>
    <s v="Grace"/>
    <n v="3"/>
    <n v="0.15"/>
    <x v="0"/>
    <n v="12"/>
    <n v="130"/>
    <n v="331.5"/>
    <n v="33.799999999999997"/>
    <n v="218.10000000000002"/>
    <s v="East"/>
    <s v="Air Fryer"/>
    <x v="0"/>
  </r>
  <r>
    <s v="ORD0108"/>
    <d v="2025-02-08T00:00:00"/>
    <s v="CUST062"/>
    <s v="PROD005"/>
    <s v="Grace"/>
    <n v="3"/>
    <n v="0"/>
    <x v="0"/>
    <n v="10"/>
    <n v="320"/>
    <n v="960"/>
    <n v="86.4"/>
    <n v="690.8"/>
    <s v="West"/>
    <s v="Desk"/>
    <x v="2"/>
  </r>
  <r>
    <s v="ORD0109"/>
    <d v="2025-01-08T00:00:00"/>
    <s v="CUST051"/>
    <s v="PROD009"/>
    <s v="Bola"/>
    <n v="3"/>
    <n v="0"/>
    <x v="1"/>
    <n v="18"/>
    <n v="130"/>
    <n v="390"/>
    <n v="33.799999999999997"/>
    <n v="270.60000000000002"/>
    <s v="East"/>
    <s v="Air Fryer"/>
    <x v="1"/>
  </r>
  <r>
    <s v="ORD0110"/>
    <d v="2025-11-23T00:00:00"/>
    <s v="CUST016"/>
    <s v="PROD008"/>
    <s v="Bola"/>
    <n v="3"/>
    <n v="0.05"/>
    <x v="0"/>
    <n v="8"/>
    <n v="70"/>
    <n v="199.5"/>
    <n v="22.4"/>
    <n v="124.30000000000001"/>
    <s v="West"/>
    <s v="Blender"/>
    <x v="0"/>
  </r>
  <r>
    <s v="ORD0111"/>
    <d v="2025-10-15T00:00:00"/>
    <s v="CUST030"/>
    <s v="PROD008"/>
    <s v="Bola"/>
    <n v="1"/>
    <n v="0.15"/>
    <x v="1"/>
    <n v="18"/>
    <n v="70"/>
    <n v="59.5"/>
    <n v="22.4"/>
    <n v="19.100000000000001"/>
    <s v="North"/>
    <s v="Blender"/>
    <x v="2"/>
  </r>
  <r>
    <s v="ORD0112"/>
    <d v="2025-03-01T00:00:00"/>
    <s v="CUST029"/>
    <s v="PROD002"/>
    <s v="Grace"/>
    <n v="4"/>
    <n v="0.05"/>
    <x v="0"/>
    <n v="8"/>
    <n v="600"/>
    <n v="2280"/>
    <n v="120"/>
    <n v="1792"/>
    <s v="North"/>
    <s v="Smartphone"/>
    <x v="2"/>
  </r>
  <r>
    <s v="ORD0113"/>
    <d v="2025-10-03T00:00:00"/>
    <s v="CUST005"/>
    <s v="PROD005"/>
    <s v="Grace"/>
    <n v="4"/>
    <n v="0"/>
    <x v="0"/>
    <n v="15"/>
    <n v="320"/>
    <n v="1280"/>
    <n v="86.4"/>
    <n v="919.4"/>
    <s v="West"/>
    <s v="Desk"/>
    <x v="2"/>
  </r>
  <r>
    <s v="ORD0114"/>
    <d v="2025-03-21T00:00:00"/>
    <s v="CUST059"/>
    <s v="PROD006"/>
    <s v="Maya"/>
    <n v="5"/>
    <n v="0.1"/>
    <x v="0"/>
    <n v="20"/>
    <n v="210"/>
    <n v="945"/>
    <n v="52.5"/>
    <n v="662.5"/>
    <s v="North"/>
    <s v="Bookshelf"/>
    <x v="0"/>
  </r>
  <r>
    <s v="ORD0115"/>
    <d v="2025-05-24T00:00:00"/>
    <s v="CUST013"/>
    <s v="PROD008"/>
    <s v="Daniel"/>
    <n v="5"/>
    <n v="0.1"/>
    <x v="1"/>
    <n v="20"/>
    <n v="70"/>
    <n v="315"/>
    <n v="22.4"/>
    <n v="183"/>
    <s v="East"/>
    <s v="Blender"/>
    <x v="1"/>
  </r>
  <r>
    <s v="ORD0116"/>
    <d v="2025-07-05T00:00:00"/>
    <s v="CUST048"/>
    <s v="PROD004"/>
    <s v="Daniel"/>
    <n v="4"/>
    <n v="0.1"/>
    <x v="2"/>
    <n v="20"/>
    <n v="180"/>
    <n v="648"/>
    <n v="54"/>
    <n v="412"/>
    <s v="East"/>
    <s v="Office Chair"/>
    <x v="1"/>
  </r>
  <r>
    <s v="ORD0117"/>
    <d v="2025-04-08T00:00:00"/>
    <s v="CUST048"/>
    <s v="PROD009"/>
    <s v="Daniel"/>
    <n v="3"/>
    <n v="0"/>
    <x v="0"/>
    <n v="15"/>
    <n v="130"/>
    <n v="390"/>
    <n v="33.799999999999997"/>
    <n v="273.60000000000002"/>
    <s v="East"/>
    <s v="Air Fryer"/>
    <x v="1"/>
  </r>
  <r>
    <s v="ORD0118"/>
    <d v="2025-06-20T00:00:00"/>
    <s v="CUST012"/>
    <s v="PROD004"/>
    <s v="Grace"/>
    <n v="5"/>
    <n v="0"/>
    <x v="0"/>
    <n v="10"/>
    <n v="180"/>
    <n v="900"/>
    <n v="54"/>
    <n v="620"/>
    <s v="West"/>
    <s v="Office Chair"/>
    <x v="2"/>
  </r>
  <r>
    <s v="ORD0119"/>
    <d v="2025-04-21T00:00:00"/>
    <s v="CUST073"/>
    <s v="PROD004"/>
    <s v="Grace"/>
    <n v="1"/>
    <n v="0.15"/>
    <x v="0"/>
    <n v="12"/>
    <n v="180"/>
    <n v="153"/>
    <n v="54"/>
    <n v="87"/>
    <s v="West"/>
    <s v="Office Chair"/>
    <x v="0"/>
  </r>
  <r>
    <s v="ORD0120"/>
    <d v="2025-03-16T00:00:00"/>
    <s v="CUST019"/>
    <s v="PROD010"/>
    <s v="Grace"/>
    <n v="1"/>
    <n v="0.05"/>
    <x v="1"/>
    <n v="18"/>
    <n v="240"/>
    <n v="228"/>
    <n v="55.2"/>
    <n v="154.80000000000001"/>
    <s v="West"/>
    <s v="Vacuum Cleaner"/>
    <x v="1"/>
  </r>
  <r>
    <s v="ORD0121"/>
    <d v="2025-07-03T00:00:00"/>
    <s v="CUST033"/>
    <s v="PROD003"/>
    <s v="Grace"/>
    <n v="1"/>
    <n v="0"/>
    <x v="0"/>
    <n v="18"/>
    <n v="90"/>
    <n v="90"/>
    <n v="25.2"/>
    <n v="46.8"/>
    <s v="North"/>
    <s v="Headphones"/>
    <x v="0"/>
  </r>
  <r>
    <s v="ORD0122"/>
    <d v="2025-08-04T00:00:00"/>
    <s v="CUST042"/>
    <s v="PROD001"/>
    <s v="Kevin"/>
    <n v="2"/>
    <n v="0.05"/>
    <x v="0"/>
    <n v="8"/>
    <n v="850"/>
    <n v="1615"/>
    <n v="187"/>
    <n v="1233"/>
    <s v="West"/>
    <s v="Laptop"/>
    <x v="0"/>
  </r>
  <r>
    <s v="ORD0123"/>
    <d v="2025-02-25T00:00:00"/>
    <s v="CUST009"/>
    <s v="PROD008"/>
    <s v="Maya"/>
    <n v="4"/>
    <n v="0.05"/>
    <x v="0"/>
    <n v="18"/>
    <n v="70"/>
    <n v="266"/>
    <n v="22.4"/>
    <n v="158.4"/>
    <s v="East"/>
    <s v="Blender"/>
    <x v="2"/>
  </r>
  <r>
    <s v="ORD0124"/>
    <d v="2025-11-26T00:00:00"/>
    <s v="CUST029"/>
    <s v="PROD010"/>
    <s v="Daniel"/>
    <n v="1"/>
    <n v="0.15"/>
    <x v="0"/>
    <n v="8"/>
    <n v="240"/>
    <n v="204"/>
    <n v="55.2"/>
    <n v="140.80000000000001"/>
    <s v="North"/>
    <s v="Vacuum Cleaner"/>
    <x v="2"/>
  </r>
  <r>
    <s v="ORD0125"/>
    <d v="2025-08-16T00:00:00"/>
    <s v="CUST062"/>
    <s v="PROD007"/>
    <s v="Daniel"/>
    <n v="4"/>
    <n v="0"/>
    <x v="0"/>
    <n v="8"/>
    <n v="160"/>
    <n v="640"/>
    <n v="38.4"/>
    <n v="478.4"/>
    <s v="West"/>
    <s v="Microwave"/>
    <x v="2"/>
  </r>
  <r>
    <s v="ORD0126"/>
    <d v="2025-11-16T00:00:00"/>
    <s v="CUST042"/>
    <s v="PROD010"/>
    <s v="Kevin"/>
    <n v="2"/>
    <n v="0"/>
    <x v="0"/>
    <n v="18"/>
    <n v="240"/>
    <n v="480"/>
    <n v="55.2"/>
    <n v="351.6"/>
    <s v="West"/>
    <s v="Vacuum Cleaner"/>
    <x v="0"/>
  </r>
  <r>
    <s v="ORD0127"/>
    <d v="2025-09-16T00:00:00"/>
    <s v="CUST042"/>
    <s v="PROD007"/>
    <s v="Kevin"/>
    <n v="5"/>
    <n v="0.15"/>
    <x v="0"/>
    <n v="15"/>
    <n v="160"/>
    <n v="680"/>
    <n v="38.4"/>
    <n v="473"/>
    <s v="West"/>
    <s v="Microwave"/>
    <x v="0"/>
  </r>
  <r>
    <s v="ORD0128"/>
    <d v="2025-04-27T00:00:00"/>
    <s v="CUST013"/>
    <s v="PROD002"/>
    <s v="Maya"/>
    <n v="5"/>
    <n v="0"/>
    <x v="0"/>
    <n v="12"/>
    <n v="600"/>
    <n v="3000"/>
    <n v="120"/>
    <n v="2388"/>
    <s v="East"/>
    <s v="Smartphone"/>
    <x v="1"/>
  </r>
  <r>
    <s v="ORD0129"/>
    <d v="2025-06-10T00:00:00"/>
    <s v="CUST059"/>
    <s v="PROD007"/>
    <s v="Bola"/>
    <n v="4"/>
    <n v="0"/>
    <x v="0"/>
    <n v="12"/>
    <n v="160"/>
    <n v="640"/>
    <n v="38.4"/>
    <n v="474.4"/>
    <s v="North"/>
    <s v="Microwave"/>
    <x v="0"/>
  </r>
  <r>
    <s v="ORD0130"/>
    <d v="2025-02-17T00:00:00"/>
    <s v="CUST020"/>
    <s v="PROD008"/>
    <s v="Maya"/>
    <n v="1"/>
    <n v="0"/>
    <x v="1"/>
    <n v="8"/>
    <n v="70"/>
    <n v="70"/>
    <n v="22.4"/>
    <n v="39.6"/>
    <s v="South"/>
    <s v="Blender"/>
    <x v="0"/>
  </r>
  <r>
    <s v="ORD0131"/>
    <d v="2025-10-15T00:00:00"/>
    <s v="CUST048"/>
    <s v="PROD003"/>
    <s v="Kevin"/>
    <n v="5"/>
    <n v="0"/>
    <x v="0"/>
    <n v="12"/>
    <n v="90"/>
    <n v="450"/>
    <n v="25.2"/>
    <n v="312"/>
    <s v="East"/>
    <s v="Headphones"/>
    <x v="1"/>
  </r>
  <r>
    <s v="ORD0132"/>
    <d v="2025-01-27T00:00:00"/>
    <s v="CUST016"/>
    <s v="PROD007"/>
    <s v="Bola"/>
    <n v="3"/>
    <n v="0.1"/>
    <x v="1"/>
    <n v="18"/>
    <n v="160"/>
    <n v="432"/>
    <n v="38.4"/>
    <n v="298.8"/>
    <s v="West"/>
    <s v="Microwave"/>
    <x v="0"/>
  </r>
  <r>
    <s v="ORD0133"/>
    <d v="2025-03-21T00:00:00"/>
    <s v="CUST040"/>
    <s v="PROD006"/>
    <s v="Maya"/>
    <n v="1"/>
    <n v="0.15"/>
    <x v="0"/>
    <n v="10"/>
    <n v="210"/>
    <n v="178.5"/>
    <n v="52.5"/>
    <n v="116"/>
    <s v="South"/>
    <s v="Bookshelf"/>
    <x v="0"/>
  </r>
  <r>
    <s v="ORD0134"/>
    <d v="2025-05-23T00:00:00"/>
    <s v="CUST014"/>
    <s v="PROD006"/>
    <s v="Kevin"/>
    <n v="5"/>
    <n v="0.05"/>
    <x v="0"/>
    <n v="10"/>
    <n v="210"/>
    <n v="997.5"/>
    <n v="52.5"/>
    <n v="725"/>
    <s v="South"/>
    <s v="Bookshelf"/>
    <x v="2"/>
  </r>
  <r>
    <s v="ORD0135"/>
    <d v="2025-10-13T00:00:00"/>
    <s v="CUST055"/>
    <s v="PROD009"/>
    <s v="Daniel"/>
    <n v="5"/>
    <n v="0.15"/>
    <x v="0"/>
    <n v="18"/>
    <n v="130"/>
    <n v="552.5"/>
    <n v="33.799999999999997"/>
    <n v="365.5"/>
    <s v="West"/>
    <s v="Air Fryer"/>
    <x v="2"/>
  </r>
  <r>
    <s v="ORD0136"/>
    <d v="2025-06-08T00:00:00"/>
    <s v="CUST035"/>
    <s v="PROD001"/>
    <s v="Bola"/>
    <n v="2"/>
    <n v="0.05"/>
    <x v="0"/>
    <n v="12"/>
    <n v="850"/>
    <n v="1615"/>
    <n v="187"/>
    <n v="1229"/>
    <s v="West"/>
    <s v="Laptop"/>
    <x v="1"/>
  </r>
  <r>
    <s v="ORD0137"/>
    <d v="2025-02-05T00:00:00"/>
    <s v="CUST001"/>
    <s v="PROD003"/>
    <s v="Grace"/>
    <n v="2"/>
    <n v="0.15"/>
    <x v="0"/>
    <n v="20"/>
    <n v="90"/>
    <n v="153"/>
    <n v="25.2"/>
    <n v="82.6"/>
    <s v="West"/>
    <s v="Headphones"/>
    <x v="1"/>
  </r>
  <r>
    <s v="ORD0138"/>
    <d v="2025-08-21T00:00:00"/>
    <s v="CUST004"/>
    <s v="PROD002"/>
    <s v="Bola"/>
    <n v="5"/>
    <n v="0"/>
    <x v="0"/>
    <n v="10"/>
    <n v="600"/>
    <n v="3000"/>
    <n v="120"/>
    <n v="2390"/>
    <s v="West"/>
    <s v="Smartphone"/>
    <x v="2"/>
  </r>
  <r>
    <s v="ORD0139"/>
    <d v="2025-01-27T00:00:00"/>
    <s v="CUST048"/>
    <s v="PROD005"/>
    <s v="Grace"/>
    <n v="3"/>
    <n v="0.15"/>
    <x v="0"/>
    <n v="10"/>
    <n v="320"/>
    <n v="816"/>
    <n v="86.4"/>
    <n v="546.79999999999995"/>
    <s v="East"/>
    <s v="Desk"/>
    <x v="1"/>
  </r>
  <r>
    <s v="ORD0140"/>
    <d v="2025-08-06T00:00:00"/>
    <s v="CUST080"/>
    <s v="PROD001"/>
    <s v="Maya"/>
    <n v="1"/>
    <n v="0.05"/>
    <x v="0"/>
    <n v="18"/>
    <n v="850"/>
    <n v="807.5"/>
    <n v="187"/>
    <n v="602.5"/>
    <s v="East"/>
    <s v="Laptop"/>
    <x v="2"/>
  </r>
  <r>
    <s v="ORD0141"/>
    <d v="2025-02-28T00:00:00"/>
    <s v="CUST057"/>
    <s v="PROD007"/>
    <s v="Bola"/>
    <n v="3"/>
    <n v="0"/>
    <x v="0"/>
    <n v="15"/>
    <n v="160"/>
    <n v="480"/>
    <n v="38.4"/>
    <n v="349.8"/>
    <s v="North"/>
    <s v="Microwave"/>
    <x v="0"/>
  </r>
  <r>
    <s v="ORD0142"/>
    <d v="2025-06-07T00:00:00"/>
    <s v="CUST015"/>
    <s v="PROD005"/>
    <s v="Daniel"/>
    <n v="5"/>
    <n v="0.1"/>
    <x v="0"/>
    <n v="10"/>
    <n v="320"/>
    <n v="1440"/>
    <n v="86.4"/>
    <n v="998"/>
    <s v="South"/>
    <s v="Desk"/>
    <x v="2"/>
  </r>
  <r>
    <s v="ORD0143"/>
    <d v="2025-04-19T00:00:00"/>
    <s v="CUST051"/>
    <s v="PROD010"/>
    <s v="Grace"/>
    <n v="1"/>
    <n v="0"/>
    <x v="0"/>
    <n v="12"/>
    <n v="240"/>
    <n v="240"/>
    <n v="55.2"/>
    <n v="172.8"/>
    <s v="East"/>
    <s v="Vacuum Cleaner"/>
    <x v="1"/>
  </r>
  <r>
    <s v="ORD0144"/>
    <d v="2025-08-09T00:00:00"/>
    <s v="CUST038"/>
    <s v="PROD006"/>
    <s v="Grace"/>
    <n v="1"/>
    <n v="0"/>
    <x v="0"/>
    <n v="10"/>
    <n v="210"/>
    <n v="210"/>
    <n v="52.5"/>
    <n v="147.5"/>
    <s v="South"/>
    <s v="Bookshelf"/>
    <x v="2"/>
  </r>
  <r>
    <s v="ORD0145"/>
    <d v="2025-12-09T00:00:00"/>
    <s v="CUST049"/>
    <s v="PROD009"/>
    <s v="Bola"/>
    <n v="2"/>
    <n v="0.15"/>
    <x v="0"/>
    <n v="8"/>
    <n v="130"/>
    <n v="221"/>
    <n v="33.799999999999997"/>
    <n v="145.4"/>
    <s v="East"/>
    <s v="Air Fryer"/>
    <x v="1"/>
  </r>
  <r>
    <s v="ORD0146"/>
    <d v="2025-02-09T00:00:00"/>
    <s v="CUST051"/>
    <s v="PROD001"/>
    <s v="Bola"/>
    <n v="4"/>
    <n v="0"/>
    <x v="0"/>
    <n v="18"/>
    <n v="850"/>
    <n v="3400"/>
    <n v="187"/>
    <n v="2634"/>
    <s v="East"/>
    <s v="Laptop"/>
    <x v="1"/>
  </r>
  <r>
    <s v="ORD0147"/>
    <d v="2025-07-27T00:00:00"/>
    <s v="CUST055"/>
    <s v="PROD010"/>
    <s v="Daniel"/>
    <n v="4"/>
    <n v="0.1"/>
    <x v="0"/>
    <n v="12"/>
    <n v="240"/>
    <n v="864"/>
    <n v="55.2"/>
    <n v="631.20000000000005"/>
    <s v="West"/>
    <s v="Vacuum Cleaner"/>
    <x v="2"/>
  </r>
  <r>
    <s v="ORD0148"/>
    <d v="2025-02-24T00:00:00"/>
    <s v="CUST022"/>
    <s v="PROD010"/>
    <s v="Grace"/>
    <n v="4"/>
    <n v="0.05"/>
    <x v="0"/>
    <n v="15"/>
    <n v="240"/>
    <n v="912"/>
    <n v="55.2"/>
    <n v="676.2"/>
    <s v="South"/>
    <s v="Vacuum Cleaner"/>
    <x v="0"/>
  </r>
  <r>
    <s v="ORD0149"/>
    <d v="2025-06-08T00:00:00"/>
    <s v="CUST076"/>
    <s v="PROD007"/>
    <s v="Bola"/>
    <n v="5"/>
    <n v="0"/>
    <x v="0"/>
    <n v="10"/>
    <n v="160"/>
    <n v="800"/>
    <n v="38.4"/>
    <n v="598"/>
    <s v="South"/>
    <s v="Microwave"/>
    <x v="1"/>
  </r>
  <r>
    <s v="ORD0150"/>
    <d v="2025-09-29T00:00:00"/>
    <s v="CUST043"/>
    <s v="PROD003"/>
    <s v="Kevin"/>
    <n v="1"/>
    <n v="0.15"/>
    <x v="0"/>
    <n v="10"/>
    <n v="90"/>
    <n v="76.5"/>
    <n v="25.2"/>
    <n v="41.3"/>
    <s v="South"/>
    <s v="Headphones"/>
    <x v="2"/>
  </r>
  <r>
    <s v="ORD0151"/>
    <d v="2025-05-12T00:00:00"/>
    <s v="CUST045"/>
    <s v="PROD006"/>
    <s v="Grace"/>
    <n v="2"/>
    <n v="0"/>
    <x v="0"/>
    <n v="10"/>
    <n v="210"/>
    <n v="420"/>
    <n v="52.5"/>
    <n v="305"/>
    <s v="West"/>
    <s v="Bookshelf"/>
    <x v="2"/>
  </r>
  <r>
    <s v="ORD0152"/>
    <d v="2025-11-18T00:00:00"/>
    <s v="CUST078"/>
    <s v="PROD003"/>
    <s v="Maya"/>
    <n v="1"/>
    <n v="0"/>
    <x v="2"/>
    <n v="15"/>
    <n v="90"/>
    <n v="90"/>
    <n v="25.2"/>
    <n v="49.8"/>
    <s v="South"/>
    <s v="Headphones"/>
    <x v="1"/>
  </r>
  <r>
    <s v="ORD0153"/>
    <d v="2025-11-16T00:00:00"/>
    <s v="CUST073"/>
    <s v="PROD010"/>
    <s v="Bola"/>
    <n v="4"/>
    <n v="0.15"/>
    <x v="0"/>
    <n v="20"/>
    <n v="240"/>
    <n v="816"/>
    <n v="55.2"/>
    <n v="575.20000000000005"/>
    <s v="West"/>
    <s v="Vacuum Cleaner"/>
    <x v="0"/>
  </r>
  <r>
    <s v="ORD0154"/>
    <d v="2025-11-20T00:00:00"/>
    <s v="CUST041"/>
    <s v="PROD003"/>
    <s v="Bola"/>
    <n v="4"/>
    <n v="0"/>
    <x v="0"/>
    <n v="12"/>
    <n v="90"/>
    <n v="360"/>
    <n v="25.2"/>
    <n v="247.2"/>
    <s v="West"/>
    <s v="Headphones"/>
    <x v="0"/>
  </r>
  <r>
    <s v="ORD0155"/>
    <d v="2025-08-25T00:00:00"/>
    <s v="CUST076"/>
    <s v="PROD001"/>
    <s v="Maya"/>
    <n v="3"/>
    <n v="0.15"/>
    <x v="0"/>
    <n v="8"/>
    <n v="850"/>
    <n v="2167.5"/>
    <n v="187"/>
    <n v="1598.5"/>
    <s v="South"/>
    <s v="Laptop"/>
    <x v="1"/>
  </r>
  <r>
    <s v="ORD0156"/>
    <d v="2025-02-16T00:00:00"/>
    <s v="CUST008"/>
    <s v="PROD006"/>
    <s v="Kevin"/>
    <n v="3"/>
    <n v="0"/>
    <x v="0"/>
    <n v="18"/>
    <n v="210"/>
    <n v="630"/>
    <n v="52.5"/>
    <n v="454.5"/>
    <s v="East"/>
    <s v="Bookshelf"/>
    <x v="2"/>
  </r>
  <r>
    <s v="ORD0157"/>
    <d v="2025-01-22T00:00:00"/>
    <s v="CUST065"/>
    <s v="PROD007"/>
    <s v="Maya"/>
    <n v="4"/>
    <n v="0.15"/>
    <x v="0"/>
    <n v="18"/>
    <n v="160"/>
    <n v="544"/>
    <n v="38.4"/>
    <n v="372.4"/>
    <s v="North"/>
    <s v="Microwave"/>
    <x v="2"/>
  </r>
  <r>
    <s v="ORD0158"/>
    <d v="2025-02-01T00:00:00"/>
    <s v="CUST025"/>
    <s v="PROD006"/>
    <s v="Maya"/>
    <n v="5"/>
    <n v="0.1"/>
    <x v="0"/>
    <n v="8"/>
    <n v="210"/>
    <n v="945"/>
    <n v="52.5"/>
    <n v="674.5"/>
    <s v="East"/>
    <s v="Bookshelf"/>
    <x v="1"/>
  </r>
  <r>
    <s v="ORD0159"/>
    <d v="2025-12-29T00:00:00"/>
    <s v="CUST044"/>
    <s v="PROD002"/>
    <s v="Maya"/>
    <n v="5"/>
    <n v="0"/>
    <x v="0"/>
    <n v="15"/>
    <n v="600"/>
    <n v="3000"/>
    <n v="120"/>
    <n v="2385"/>
    <s v="West"/>
    <s v="Smartphone"/>
    <x v="1"/>
  </r>
  <r>
    <s v="ORD0160"/>
    <d v="2025-05-25T00:00:00"/>
    <s v="CUST068"/>
    <s v="PROD009"/>
    <s v="Maya"/>
    <n v="5"/>
    <n v="0"/>
    <x v="0"/>
    <n v="15"/>
    <n v="130"/>
    <n v="650"/>
    <n v="33.799999999999997"/>
    <n v="466"/>
    <s v="North"/>
    <s v="Air Fryer"/>
    <x v="2"/>
  </r>
  <r>
    <s v="ORD0161"/>
    <d v="2025-02-18T00:00:00"/>
    <s v="CUST044"/>
    <s v="PROD010"/>
    <s v="Kevin"/>
    <n v="1"/>
    <n v="0.05"/>
    <x v="0"/>
    <n v="20"/>
    <n v="240"/>
    <n v="228"/>
    <n v="55.2"/>
    <n v="152.80000000000001"/>
    <s v="West"/>
    <s v="Vacuum Cleaner"/>
    <x v="1"/>
  </r>
  <r>
    <s v="ORD0162"/>
    <d v="2025-06-20T00:00:00"/>
    <s v="CUST050"/>
    <s v="PROD005"/>
    <s v="Daniel"/>
    <n v="3"/>
    <n v="0.15"/>
    <x v="1"/>
    <n v="18"/>
    <n v="320"/>
    <n v="816"/>
    <n v="86.4"/>
    <n v="538.79999999999995"/>
    <s v="West"/>
    <s v="Desk"/>
    <x v="2"/>
  </r>
  <r>
    <s v="ORD0163"/>
    <d v="2025-12-29T00:00:00"/>
    <s v="CUST019"/>
    <s v="PROD006"/>
    <s v="Daniel"/>
    <n v="3"/>
    <n v="0.1"/>
    <x v="0"/>
    <n v="12"/>
    <n v="210"/>
    <n v="567"/>
    <n v="52.5"/>
    <n v="397.5"/>
    <s v="West"/>
    <s v="Bookshelf"/>
    <x v="1"/>
  </r>
  <r>
    <s v="ORD0164"/>
    <d v="2025-12-17T00:00:00"/>
    <s v="CUST072"/>
    <s v="PROD007"/>
    <s v="Kevin"/>
    <n v="3"/>
    <n v="0"/>
    <x v="0"/>
    <n v="8"/>
    <n v="160"/>
    <n v="480"/>
    <n v="38.4"/>
    <n v="356.8"/>
    <s v="South"/>
    <s v="Microwave"/>
    <x v="1"/>
  </r>
  <r>
    <s v="ORD0165"/>
    <d v="2025-04-03T00:00:00"/>
    <s v="CUST055"/>
    <s v="PROD009"/>
    <s v="Grace"/>
    <n v="3"/>
    <n v="0"/>
    <x v="0"/>
    <n v="12"/>
    <n v="130"/>
    <n v="390"/>
    <n v="33.799999999999997"/>
    <n v="276.60000000000002"/>
    <s v="West"/>
    <s v="Air Fryer"/>
    <x v="2"/>
  </r>
  <r>
    <s v="ORD0166"/>
    <d v="2025-06-01T00:00:00"/>
    <s v="CUST063"/>
    <s v="PROD004"/>
    <s v="Daniel"/>
    <n v="2"/>
    <n v="0"/>
    <x v="0"/>
    <n v="18"/>
    <n v="180"/>
    <n v="360"/>
    <n v="54"/>
    <n v="234"/>
    <s v="North"/>
    <s v="Office Chair"/>
    <x v="0"/>
  </r>
  <r>
    <s v="ORD0167"/>
    <d v="2025-11-13T00:00:00"/>
    <s v="CUST070"/>
    <s v="PROD009"/>
    <s v="Grace"/>
    <n v="1"/>
    <n v="0.05"/>
    <x v="1"/>
    <n v="18"/>
    <n v="130"/>
    <n v="123.5"/>
    <n v="33.799999999999997"/>
    <n v="71.7"/>
    <s v="East"/>
    <s v="Air Fryer"/>
    <x v="1"/>
  </r>
  <r>
    <s v="ORD0168"/>
    <d v="2025-11-16T00:00:00"/>
    <s v="CUST049"/>
    <s v="PROD003"/>
    <s v="Grace"/>
    <n v="2"/>
    <n v="0"/>
    <x v="1"/>
    <n v="20"/>
    <n v="90"/>
    <n v="180"/>
    <n v="25.2"/>
    <n v="109.6"/>
    <s v="East"/>
    <s v="Headphones"/>
    <x v="1"/>
  </r>
  <r>
    <s v="ORD0169"/>
    <d v="2025-05-02T00:00:00"/>
    <s v="CUST057"/>
    <s v="PROD001"/>
    <s v="Maya"/>
    <n v="4"/>
    <n v="0.05"/>
    <x v="0"/>
    <n v="18"/>
    <n v="850"/>
    <n v="3230"/>
    <n v="187"/>
    <n v="2464"/>
    <s v="North"/>
    <s v="Laptop"/>
    <x v="0"/>
  </r>
  <r>
    <s v="ORD0170"/>
    <d v="2025-08-29T00:00:00"/>
    <s v="CUST037"/>
    <s v="PROD008"/>
    <s v="Grace"/>
    <n v="2"/>
    <n v="0.15"/>
    <x v="0"/>
    <n v="12"/>
    <n v="70"/>
    <n v="119"/>
    <n v="22.4"/>
    <n v="62.2"/>
    <s v="South"/>
    <s v="Blender"/>
    <x v="2"/>
  </r>
  <r>
    <s v="ORD0171"/>
    <d v="2025-09-15T00:00:00"/>
    <s v="CUST074"/>
    <s v="PROD008"/>
    <s v="Kevin"/>
    <n v="4"/>
    <n v="0.05"/>
    <x v="0"/>
    <n v="15"/>
    <n v="70"/>
    <n v="266"/>
    <n v="22.4"/>
    <n v="161.4"/>
    <s v="West"/>
    <s v="Blender"/>
    <x v="0"/>
  </r>
  <r>
    <s v="ORD0172"/>
    <d v="2025-01-27T00:00:00"/>
    <s v="CUST021"/>
    <s v="PROD004"/>
    <s v="Maya"/>
    <n v="5"/>
    <n v="0"/>
    <x v="1"/>
    <n v="12"/>
    <n v="180"/>
    <n v="900"/>
    <n v="54"/>
    <n v="618"/>
    <s v="East"/>
    <s v="Office Chair"/>
    <x v="1"/>
  </r>
  <r>
    <s v="ORD0173"/>
    <d v="2025-03-24T00:00:00"/>
    <s v="CUST071"/>
    <s v="PROD002"/>
    <s v="Bola"/>
    <n v="5"/>
    <n v="0"/>
    <x v="0"/>
    <n v="15"/>
    <n v="600"/>
    <n v="3000"/>
    <n v="120"/>
    <n v="2385"/>
    <s v="North"/>
    <s v="Smartphone"/>
    <x v="2"/>
  </r>
  <r>
    <s v="ORD0174"/>
    <d v="2025-04-24T00:00:00"/>
    <s v="CUST066"/>
    <s v="PROD003"/>
    <s v="Maya"/>
    <n v="4"/>
    <n v="0"/>
    <x v="2"/>
    <n v="12"/>
    <n v="90"/>
    <n v="360"/>
    <n v="25.2"/>
    <n v="247.2"/>
    <s v="West"/>
    <s v="Headphones"/>
    <x v="2"/>
  </r>
  <r>
    <s v="ORD0175"/>
    <d v="2025-05-01T00:00:00"/>
    <s v="CUST004"/>
    <s v="PROD007"/>
    <s v="Maya"/>
    <n v="1"/>
    <n v="0.1"/>
    <x v="0"/>
    <n v="8"/>
    <n v="160"/>
    <n v="144"/>
    <n v="38.4"/>
    <n v="97.6"/>
    <s v="West"/>
    <s v="Microwave"/>
    <x v="2"/>
  </r>
  <r>
    <s v="ORD0176"/>
    <d v="2025-11-29T00:00:00"/>
    <s v="CUST048"/>
    <s v="PROD004"/>
    <s v="Bola"/>
    <n v="1"/>
    <n v="0.05"/>
    <x v="1"/>
    <n v="10"/>
    <n v="180"/>
    <n v="171"/>
    <n v="54"/>
    <n v="107"/>
    <s v="East"/>
    <s v="Office Chair"/>
    <x v="1"/>
  </r>
  <r>
    <s v="ORD0177"/>
    <d v="2025-03-13T00:00:00"/>
    <s v="CUST018"/>
    <s v="PROD001"/>
    <s v="Maya"/>
    <n v="3"/>
    <n v="0.1"/>
    <x v="0"/>
    <n v="15"/>
    <n v="850"/>
    <n v="2295"/>
    <n v="187"/>
    <n v="1719"/>
    <s v="South"/>
    <s v="Laptop"/>
    <x v="0"/>
  </r>
  <r>
    <s v="ORD0178"/>
    <d v="2025-03-18T00:00:00"/>
    <s v="CUST079"/>
    <s v="PROD001"/>
    <s v="Kevin"/>
    <n v="1"/>
    <n v="0"/>
    <x v="0"/>
    <n v="20"/>
    <n v="850"/>
    <n v="850"/>
    <n v="187"/>
    <n v="643"/>
    <s v="West"/>
    <s v="Laptop"/>
    <x v="1"/>
  </r>
  <r>
    <s v="ORD0179"/>
    <d v="2025-05-02T00:00:00"/>
    <s v="CUST078"/>
    <s v="PROD009"/>
    <s v="Bola"/>
    <n v="4"/>
    <n v="0"/>
    <x v="0"/>
    <n v="8"/>
    <n v="130"/>
    <n v="520"/>
    <n v="33.799999999999997"/>
    <n v="376.8"/>
    <s v="South"/>
    <s v="Air Fryer"/>
    <x v="1"/>
  </r>
  <r>
    <s v="ORD0180"/>
    <d v="2025-02-26T00:00:00"/>
    <s v="CUST007"/>
    <s v="PROD004"/>
    <s v="Maya"/>
    <n v="4"/>
    <n v="0.15"/>
    <x v="0"/>
    <n v="18"/>
    <n v="180"/>
    <n v="612"/>
    <n v="54"/>
    <n v="378"/>
    <s v="East"/>
    <s v="Office Chair"/>
    <x v="2"/>
  </r>
  <r>
    <s v="ORD0181"/>
    <d v="2025-03-15T00:00:00"/>
    <s v="CUST069"/>
    <s v="PROD001"/>
    <s v="Bola"/>
    <n v="5"/>
    <n v="0.15"/>
    <x v="0"/>
    <n v="15"/>
    <n v="850"/>
    <n v="3612.5"/>
    <n v="187"/>
    <n v="2662.5"/>
    <s v="West"/>
    <s v="Laptop"/>
    <x v="0"/>
  </r>
  <r>
    <s v="ORD0182"/>
    <d v="2025-04-06T00:00:00"/>
    <s v="CUST001"/>
    <s v="PROD010"/>
    <s v="Daniel"/>
    <n v="3"/>
    <n v="0"/>
    <x v="0"/>
    <n v="18"/>
    <n v="240"/>
    <n v="720"/>
    <n v="55.2"/>
    <n v="536.4"/>
    <s v="West"/>
    <s v="Vacuum Cleaner"/>
    <x v="1"/>
  </r>
  <r>
    <s v="ORD0183"/>
    <d v="2025-09-17T00:00:00"/>
    <s v="CUST047"/>
    <s v="PROD002"/>
    <s v="Kevin"/>
    <n v="5"/>
    <n v="0.15"/>
    <x v="0"/>
    <n v="8"/>
    <n v="600"/>
    <n v="2550"/>
    <n v="120"/>
    <n v="1942"/>
    <s v="North"/>
    <s v="Smartphone"/>
    <x v="1"/>
  </r>
  <r>
    <s v="ORD0184"/>
    <d v="2025-05-10T00:00:00"/>
    <s v="CUST050"/>
    <s v="PROD008"/>
    <s v="Daniel"/>
    <n v="1"/>
    <n v="0.1"/>
    <x v="2"/>
    <n v="12"/>
    <n v="70"/>
    <n v="63"/>
    <n v="22.4"/>
    <n v="28.6"/>
    <s v="West"/>
    <s v="Blender"/>
    <x v="2"/>
  </r>
  <r>
    <s v="ORD0185"/>
    <d v="2025-06-20T00:00:00"/>
    <s v="CUST009"/>
    <s v="PROD006"/>
    <s v="Grace"/>
    <n v="2"/>
    <n v="0"/>
    <x v="0"/>
    <n v="8"/>
    <n v="210"/>
    <n v="420"/>
    <n v="52.5"/>
    <n v="307"/>
    <s v="East"/>
    <s v="Bookshelf"/>
    <x v="2"/>
  </r>
  <r>
    <s v="ORD0186"/>
    <d v="2025-12-17T00:00:00"/>
    <s v="CUST046"/>
    <s v="PROD009"/>
    <s v="Maya"/>
    <n v="3"/>
    <n v="0"/>
    <x v="1"/>
    <n v="20"/>
    <n v="130"/>
    <n v="390"/>
    <n v="33.799999999999997"/>
    <n v="268.60000000000002"/>
    <s v="North"/>
    <s v="Air Fryer"/>
    <x v="2"/>
  </r>
  <r>
    <s v="ORD0187"/>
    <d v="2025-08-23T00:00:00"/>
    <s v="CUST062"/>
    <s v="PROD003"/>
    <s v="Daniel"/>
    <n v="2"/>
    <n v="0"/>
    <x v="0"/>
    <n v="12"/>
    <n v="90"/>
    <n v="180"/>
    <n v="25.2"/>
    <n v="117.6"/>
    <s v="West"/>
    <s v="Headphones"/>
    <x v="2"/>
  </r>
  <r>
    <s v="ORD0188"/>
    <d v="2025-06-08T00:00:00"/>
    <s v="CUST026"/>
    <s v="PROD001"/>
    <s v="Kevin"/>
    <n v="2"/>
    <n v="0"/>
    <x v="0"/>
    <n v="15"/>
    <n v="850"/>
    <n v="1700"/>
    <n v="187"/>
    <n v="1311"/>
    <s v="North"/>
    <s v="Laptop"/>
    <x v="0"/>
  </r>
  <r>
    <s v="ORD0189"/>
    <d v="2025-04-08T00:00:00"/>
    <s v="CUST070"/>
    <s v="PROD008"/>
    <s v="Bola"/>
    <n v="3"/>
    <n v="0"/>
    <x v="0"/>
    <n v="12"/>
    <n v="70"/>
    <n v="210"/>
    <n v="22.4"/>
    <n v="130.80000000000001"/>
    <s v="East"/>
    <s v="Blender"/>
    <x v="1"/>
  </r>
  <r>
    <s v="ORD0190"/>
    <d v="2025-08-12T00:00:00"/>
    <s v="CUST007"/>
    <s v="PROD006"/>
    <s v="Maya"/>
    <n v="3"/>
    <n v="0"/>
    <x v="1"/>
    <n v="20"/>
    <n v="210"/>
    <n v="630"/>
    <n v="52.5"/>
    <n v="452.5"/>
    <s v="East"/>
    <s v="Bookshelf"/>
    <x v="2"/>
  </r>
  <r>
    <s v="ORD0191"/>
    <d v="2025-09-12T00:00:00"/>
    <s v="CUST057"/>
    <s v="PROD007"/>
    <s v="Bola"/>
    <n v="3"/>
    <n v="0"/>
    <x v="0"/>
    <n v="18"/>
    <n v="160"/>
    <n v="480"/>
    <n v="38.4"/>
    <n v="346.8"/>
    <s v="North"/>
    <s v="Microwave"/>
    <x v="0"/>
  </r>
  <r>
    <s v="ORD0192"/>
    <d v="2025-04-03T00:00:00"/>
    <s v="CUST035"/>
    <s v="PROD002"/>
    <s v="Kevin"/>
    <n v="4"/>
    <n v="0"/>
    <x v="0"/>
    <n v="12"/>
    <n v="600"/>
    <n v="2400"/>
    <n v="120"/>
    <n v="1908"/>
    <s v="West"/>
    <s v="Smartphone"/>
    <x v="1"/>
  </r>
  <r>
    <s v="ORD0193"/>
    <d v="2025-06-06T00:00:00"/>
    <s v="CUST042"/>
    <s v="PROD002"/>
    <s v="Maya"/>
    <n v="1"/>
    <n v="0.05"/>
    <x v="0"/>
    <n v="18"/>
    <n v="600"/>
    <n v="570"/>
    <n v="120"/>
    <n v="432"/>
    <s v="West"/>
    <s v="Smartphone"/>
    <x v="0"/>
  </r>
  <r>
    <s v="ORD0194"/>
    <d v="2025-06-30T00:00:00"/>
    <s v="CUST055"/>
    <s v="PROD003"/>
    <s v="Kevin"/>
    <n v="4"/>
    <n v="0.05"/>
    <x v="0"/>
    <n v="15"/>
    <n v="90"/>
    <n v="342"/>
    <n v="25.2"/>
    <n v="226.2"/>
    <s v="West"/>
    <s v="Headphones"/>
    <x v="2"/>
  </r>
  <r>
    <s v="ORD0195"/>
    <d v="2025-12-14T00:00:00"/>
    <s v="CUST036"/>
    <s v="PROD001"/>
    <s v="Grace"/>
    <n v="1"/>
    <n v="0.1"/>
    <x v="0"/>
    <n v="8"/>
    <n v="850"/>
    <n v="765"/>
    <n v="187"/>
    <n v="570"/>
    <s v="East"/>
    <s v="Laptop"/>
    <x v="0"/>
  </r>
  <r>
    <s v="ORD0196"/>
    <d v="2025-05-01T00:00:00"/>
    <s v="CUST019"/>
    <s v="PROD010"/>
    <s v="Bola"/>
    <n v="4"/>
    <n v="0"/>
    <x v="0"/>
    <n v="12"/>
    <n v="240"/>
    <n v="960"/>
    <n v="55.2"/>
    <n v="727.2"/>
    <s v="West"/>
    <s v="Vacuum Cleaner"/>
    <x v="1"/>
  </r>
  <r>
    <s v="ORD0197"/>
    <d v="2025-08-19T00:00:00"/>
    <s v="CUST050"/>
    <s v="PROD010"/>
    <s v="Bola"/>
    <n v="1"/>
    <n v="0.15"/>
    <x v="0"/>
    <n v="12"/>
    <n v="240"/>
    <n v="204"/>
    <n v="55.2"/>
    <n v="136.80000000000001"/>
    <s v="West"/>
    <s v="Vacuum Cleaner"/>
    <x v="2"/>
  </r>
  <r>
    <s v="ORD0198"/>
    <d v="2025-07-23T00:00:00"/>
    <s v="CUST057"/>
    <s v="PROD002"/>
    <s v="Bola"/>
    <n v="5"/>
    <n v="0"/>
    <x v="0"/>
    <n v="20"/>
    <n v="600"/>
    <n v="3000"/>
    <n v="120"/>
    <n v="2380"/>
    <s v="North"/>
    <s v="Smartphone"/>
    <x v="0"/>
  </r>
  <r>
    <s v="ORD0199"/>
    <d v="2025-09-13T00:00:00"/>
    <s v="CUST036"/>
    <s v="PROD004"/>
    <s v="Kevin"/>
    <n v="1"/>
    <n v="0"/>
    <x v="0"/>
    <n v="15"/>
    <n v="180"/>
    <n v="180"/>
    <n v="54"/>
    <n v="111"/>
    <s v="East"/>
    <s v="Office Chair"/>
    <x v="0"/>
  </r>
  <r>
    <s v="ORD0200"/>
    <d v="2025-04-20T00:00:00"/>
    <s v="CUST072"/>
    <s v="PROD002"/>
    <s v="Kevin"/>
    <n v="3"/>
    <n v="0.05"/>
    <x v="0"/>
    <n v="12"/>
    <n v="600"/>
    <n v="1710"/>
    <n v="120"/>
    <n v="1338"/>
    <s v="South"/>
    <s v="Smartphone"/>
    <x v="1"/>
  </r>
  <r>
    <s v="ORD0201"/>
    <d v="2025-08-20T00:00:00"/>
    <s v="CUST063"/>
    <s v="PROD004"/>
    <s v="Grace"/>
    <n v="1"/>
    <n v="0"/>
    <x v="1"/>
    <n v="20"/>
    <n v="180"/>
    <n v="180"/>
    <n v="54"/>
    <n v="106"/>
    <s v="North"/>
    <s v="Office Chair"/>
    <x v="0"/>
  </r>
  <r>
    <s v="ORD0202"/>
    <d v="2025-10-09T00:00:00"/>
    <s v="CUST057"/>
    <s v="PROD002"/>
    <s v="Kevin"/>
    <n v="3"/>
    <n v="0.05"/>
    <x v="0"/>
    <n v="12"/>
    <n v="600"/>
    <n v="1710"/>
    <n v="120"/>
    <n v="1338"/>
    <s v="North"/>
    <s v="Smartphone"/>
    <x v="0"/>
  </r>
  <r>
    <s v="ORD0203"/>
    <d v="2025-03-04T00:00:00"/>
    <s v="CUST039"/>
    <s v="PROD003"/>
    <s v="Grace"/>
    <n v="2"/>
    <n v="0.05"/>
    <x v="0"/>
    <n v="10"/>
    <n v="90"/>
    <n v="171"/>
    <n v="25.2"/>
    <n v="110.6"/>
    <s v="East"/>
    <s v="Headphones"/>
    <x v="1"/>
  </r>
  <r>
    <s v="ORD0204"/>
    <d v="2025-07-08T00:00:00"/>
    <s v="CUST031"/>
    <s v="PROD008"/>
    <s v="Maya"/>
    <n v="1"/>
    <n v="0.05"/>
    <x v="0"/>
    <n v="18"/>
    <n v="70"/>
    <n v="66.5"/>
    <n v="22.4"/>
    <n v="26.1"/>
    <s v="South"/>
    <s v="Blender"/>
    <x v="2"/>
  </r>
  <r>
    <s v="ORD0205"/>
    <d v="2025-09-03T00:00:00"/>
    <s v="CUST017"/>
    <s v="PROD010"/>
    <s v="Kevin"/>
    <n v="1"/>
    <n v="0"/>
    <x v="3"/>
    <n v="15"/>
    <n v="240"/>
    <n v="240"/>
    <n v="55.2"/>
    <n v="169.8"/>
    <s v="East"/>
    <s v="Vacuum Cleaner"/>
    <x v="0"/>
  </r>
  <r>
    <s v="ORD0206"/>
    <d v="2025-11-25T00:00:00"/>
    <s v="CUST053"/>
    <s v="PROD010"/>
    <s v="Daniel"/>
    <n v="1"/>
    <n v="0"/>
    <x v="2"/>
    <n v="15"/>
    <n v="240"/>
    <n v="240"/>
    <n v="55.2"/>
    <n v="169.8"/>
    <s v="West"/>
    <s v="Vacuum Cleaner"/>
    <x v="1"/>
  </r>
  <r>
    <s v="ORD0207"/>
    <d v="2025-10-10T00:00:00"/>
    <s v="CUST060"/>
    <s v="PROD009"/>
    <s v="Kevin"/>
    <n v="3"/>
    <n v="0"/>
    <x v="1"/>
    <n v="10"/>
    <n v="130"/>
    <n v="390"/>
    <n v="33.799999999999997"/>
    <n v="278.60000000000002"/>
    <s v="North"/>
    <s v="Air Fryer"/>
    <x v="2"/>
  </r>
  <r>
    <s v="ORD0208"/>
    <d v="2025-09-23T00:00:00"/>
    <s v="CUST017"/>
    <s v="PROD007"/>
    <s v="Grace"/>
    <n v="5"/>
    <n v="0"/>
    <x v="1"/>
    <n v="12"/>
    <n v="160"/>
    <n v="800"/>
    <n v="38.4"/>
    <n v="596"/>
    <s v="East"/>
    <s v="Microwave"/>
    <x v="0"/>
  </r>
  <r>
    <s v="ORD0209"/>
    <d v="2025-09-23T00:00:00"/>
    <s v="CUST022"/>
    <s v="PROD003"/>
    <s v="Bola"/>
    <n v="3"/>
    <n v="0"/>
    <x v="0"/>
    <n v="8"/>
    <n v="90"/>
    <n v="270"/>
    <n v="25.2"/>
    <n v="186.4"/>
    <s v="South"/>
    <s v="Headphones"/>
    <x v="0"/>
  </r>
  <r>
    <s v="ORD0210"/>
    <d v="2025-06-05T00:00:00"/>
    <s v="CUST033"/>
    <s v="PROD004"/>
    <s v="Kevin"/>
    <n v="5"/>
    <n v="0.05"/>
    <x v="0"/>
    <n v="18"/>
    <n v="180"/>
    <n v="855"/>
    <n v="54"/>
    <n v="567"/>
    <s v="North"/>
    <s v="Office Chair"/>
    <x v="0"/>
  </r>
  <r>
    <s v="ORD0211"/>
    <d v="2025-03-20T00:00:00"/>
    <s v="CUST012"/>
    <s v="PROD009"/>
    <s v="Grace"/>
    <n v="2"/>
    <n v="0.15"/>
    <x v="2"/>
    <n v="20"/>
    <n v="130"/>
    <n v="221"/>
    <n v="33.799999999999997"/>
    <n v="133.4"/>
    <s v="West"/>
    <s v="Air Fryer"/>
    <x v="2"/>
  </r>
  <r>
    <s v="ORD0212"/>
    <d v="2025-01-15T00:00:00"/>
    <s v="CUST080"/>
    <s v="PROD010"/>
    <s v="Daniel"/>
    <n v="3"/>
    <n v="0.15"/>
    <x v="0"/>
    <n v="8"/>
    <n v="240"/>
    <n v="612"/>
    <n v="55.2"/>
    <n v="438.4"/>
    <s v="East"/>
    <s v="Vacuum Cleaner"/>
    <x v="2"/>
  </r>
  <r>
    <s v="ORD0213"/>
    <d v="2025-11-24T00:00:00"/>
    <s v="CUST074"/>
    <s v="PROD005"/>
    <s v="Daniel"/>
    <n v="2"/>
    <n v="0.15"/>
    <x v="0"/>
    <n v="15"/>
    <n v="320"/>
    <n v="544"/>
    <n v="86.4"/>
    <n v="356.2"/>
    <s v="West"/>
    <s v="Desk"/>
    <x v="0"/>
  </r>
  <r>
    <s v="ORD0214"/>
    <d v="2025-12-17T00:00:00"/>
    <s v="CUST070"/>
    <s v="PROD005"/>
    <s v="Maya"/>
    <n v="3"/>
    <n v="0.1"/>
    <x v="0"/>
    <n v="12"/>
    <n v="320"/>
    <n v="864"/>
    <n v="86.4"/>
    <n v="592.79999999999995"/>
    <s v="East"/>
    <s v="Desk"/>
    <x v="1"/>
  </r>
  <r>
    <s v="ORD0215"/>
    <d v="2025-09-05T00:00:00"/>
    <s v="CUST059"/>
    <s v="PROD002"/>
    <s v="Maya"/>
    <n v="1"/>
    <n v="0"/>
    <x v="0"/>
    <n v="10"/>
    <n v="600"/>
    <n v="600"/>
    <n v="120"/>
    <n v="470"/>
    <s v="North"/>
    <s v="Smartphone"/>
    <x v="0"/>
  </r>
  <r>
    <s v="ORD0216"/>
    <d v="2025-06-13T00:00:00"/>
    <s v="CUST044"/>
    <s v="PROD010"/>
    <s v="Bola"/>
    <n v="2"/>
    <n v="0.05"/>
    <x v="1"/>
    <n v="15"/>
    <n v="240"/>
    <n v="456"/>
    <n v="55.2"/>
    <n v="330.6"/>
    <s v="West"/>
    <s v="Vacuum Cleaner"/>
    <x v="1"/>
  </r>
  <r>
    <s v="ORD0217"/>
    <d v="2025-05-04T00:00:00"/>
    <s v="CUST017"/>
    <s v="PROD006"/>
    <s v="Maya"/>
    <n v="5"/>
    <n v="0.15"/>
    <x v="0"/>
    <n v="8"/>
    <n v="210"/>
    <n v="892.5"/>
    <n v="52.5"/>
    <n v="622"/>
    <s v="East"/>
    <s v="Bookshelf"/>
    <x v="0"/>
  </r>
  <r>
    <s v="ORD0218"/>
    <d v="2025-05-29T00:00:00"/>
    <s v="CUST035"/>
    <s v="PROD008"/>
    <s v="Maya"/>
    <n v="2"/>
    <n v="0"/>
    <x v="0"/>
    <n v="18"/>
    <n v="70"/>
    <n v="140"/>
    <n v="22.4"/>
    <n v="77.2"/>
    <s v="West"/>
    <s v="Blender"/>
    <x v="1"/>
  </r>
  <r>
    <s v="ORD0219"/>
    <d v="2025-06-10T00:00:00"/>
    <s v="CUST054"/>
    <s v="PROD004"/>
    <s v="Grace"/>
    <n v="2"/>
    <n v="0.05"/>
    <x v="1"/>
    <n v="10"/>
    <n v="180"/>
    <n v="342"/>
    <n v="54"/>
    <n v="224"/>
    <s v="South"/>
    <s v="Office Chair"/>
    <x v="2"/>
  </r>
  <r>
    <s v="ORD0220"/>
    <d v="2025-09-12T00:00:00"/>
    <s v="CUST064"/>
    <s v="PROD009"/>
    <s v="Daniel"/>
    <n v="4"/>
    <n v="0.1"/>
    <x v="1"/>
    <n v="8"/>
    <n v="130"/>
    <n v="468"/>
    <n v="33.799999999999997"/>
    <n v="324.8"/>
    <s v="East"/>
    <s v="Air Fryer"/>
    <x v="2"/>
  </r>
  <r>
    <s v="ORD0221"/>
    <d v="2025-06-30T00:00:00"/>
    <s v="CUST051"/>
    <s v="PROD009"/>
    <s v="Daniel"/>
    <n v="4"/>
    <n v="0"/>
    <x v="0"/>
    <n v="8"/>
    <n v="130"/>
    <n v="520"/>
    <n v="33.799999999999997"/>
    <n v="376.8"/>
    <s v="East"/>
    <s v="Air Fryer"/>
    <x v="1"/>
  </r>
  <r>
    <s v="ORD0222"/>
    <d v="2025-01-05T00:00:00"/>
    <s v="CUST037"/>
    <s v="PROD008"/>
    <s v="Daniel"/>
    <n v="5"/>
    <n v="0.1"/>
    <x v="0"/>
    <n v="15"/>
    <n v="70"/>
    <n v="315"/>
    <n v="22.4"/>
    <n v="188"/>
    <s v="South"/>
    <s v="Blender"/>
    <x v="2"/>
  </r>
  <r>
    <s v="ORD0223"/>
    <d v="2025-07-25T00:00:00"/>
    <s v="CUST018"/>
    <s v="PROD005"/>
    <s v="Daniel"/>
    <n v="3"/>
    <n v="0.1"/>
    <x v="0"/>
    <n v="18"/>
    <n v="320"/>
    <n v="864"/>
    <n v="86.4"/>
    <n v="586.79999999999995"/>
    <s v="South"/>
    <s v="Desk"/>
    <x v="0"/>
  </r>
  <r>
    <s v="ORD0224"/>
    <d v="2025-07-17T00:00:00"/>
    <s v="CUST072"/>
    <s v="PROD004"/>
    <s v="Kevin"/>
    <n v="3"/>
    <n v="0.15"/>
    <x v="0"/>
    <n v="15"/>
    <n v="180"/>
    <n v="459"/>
    <n v="54"/>
    <n v="282"/>
    <s v="South"/>
    <s v="Office Chair"/>
    <x v="1"/>
  </r>
  <r>
    <s v="ORD0225"/>
    <d v="2025-02-19T00:00:00"/>
    <s v="CUST071"/>
    <s v="PROD005"/>
    <s v="Maya"/>
    <n v="5"/>
    <n v="0.15"/>
    <x v="0"/>
    <n v="12"/>
    <n v="320"/>
    <n v="1360"/>
    <n v="86.4"/>
    <n v="916"/>
    <s v="North"/>
    <s v="Desk"/>
    <x v="2"/>
  </r>
  <r>
    <s v="ORD0226"/>
    <d v="2025-09-18T00:00:00"/>
    <s v="CUST044"/>
    <s v="PROD009"/>
    <s v="Maya"/>
    <n v="3"/>
    <n v="0"/>
    <x v="0"/>
    <n v="18"/>
    <n v="130"/>
    <n v="390"/>
    <n v="33.799999999999997"/>
    <n v="270.60000000000002"/>
    <s v="West"/>
    <s v="Air Fryer"/>
    <x v="1"/>
  </r>
  <r>
    <s v="ORD0227"/>
    <d v="2025-08-31T00:00:00"/>
    <s v="CUST006"/>
    <s v="PROD001"/>
    <s v="Kevin"/>
    <n v="1"/>
    <n v="0"/>
    <x v="0"/>
    <n v="15"/>
    <n v="850"/>
    <n v="850"/>
    <n v="187"/>
    <n v="648"/>
    <s v="North"/>
    <s v="Laptop"/>
    <x v="0"/>
  </r>
  <r>
    <s v="ORD0228"/>
    <d v="2025-11-10T00:00:00"/>
    <s v="CUST020"/>
    <s v="PROD010"/>
    <s v="Bola"/>
    <n v="5"/>
    <n v="0"/>
    <x v="0"/>
    <n v="10"/>
    <n v="240"/>
    <n v="1200"/>
    <n v="55.2"/>
    <n v="914"/>
    <s v="South"/>
    <s v="Vacuum Cleaner"/>
    <x v="0"/>
  </r>
  <r>
    <s v="ORD0229"/>
    <d v="2025-09-18T00:00:00"/>
    <s v="CUST051"/>
    <s v="PROD010"/>
    <s v="Kevin"/>
    <n v="3"/>
    <n v="0.15"/>
    <x v="0"/>
    <n v="15"/>
    <n v="240"/>
    <n v="612"/>
    <n v="55.2"/>
    <n v="431.4"/>
    <s v="East"/>
    <s v="Vacuum Cleaner"/>
    <x v="1"/>
  </r>
  <r>
    <s v="ORD0230"/>
    <d v="2025-12-11T00:00:00"/>
    <s v="CUST073"/>
    <s v="PROD005"/>
    <s v="Daniel"/>
    <n v="4"/>
    <n v="0"/>
    <x v="0"/>
    <n v="15"/>
    <n v="320"/>
    <n v="1280"/>
    <n v="86.4"/>
    <n v="919.4"/>
    <s v="West"/>
    <s v="Desk"/>
    <x v="0"/>
  </r>
  <r>
    <s v="ORD0231"/>
    <d v="2025-12-02T00:00:00"/>
    <s v="CUST075"/>
    <s v="PROD005"/>
    <s v="Kevin"/>
    <n v="1"/>
    <n v="0.15"/>
    <x v="0"/>
    <n v="18"/>
    <n v="320"/>
    <n v="272"/>
    <n v="86.4"/>
    <n v="167.6"/>
    <s v="South"/>
    <s v="Desk"/>
    <x v="1"/>
  </r>
  <r>
    <s v="ORD0232"/>
    <d v="2025-11-19T00:00:00"/>
    <s v="CUST030"/>
    <s v="PROD001"/>
    <s v="Kevin"/>
    <n v="5"/>
    <n v="0.1"/>
    <x v="0"/>
    <n v="15"/>
    <n v="850"/>
    <n v="3825"/>
    <n v="187"/>
    <n v="2875"/>
    <s v="North"/>
    <s v="Laptop"/>
    <x v="2"/>
  </r>
  <r>
    <s v="ORD0233"/>
    <d v="2025-02-26T00:00:00"/>
    <s v="CUST019"/>
    <s v="PROD004"/>
    <s v="Grace"/>
    <n v="1"/>
    <n v="0.15"/>
    <x v="2"/>
    <n v="8"/>
    <n v="180"/>
    <n v="153"/>
    <n v="54"/>
    <n v="91"/>
    <s v="West"/>
    <s v="Office Chair"/>
    <x v="1"/>
  </r>
  <r>
    <s v="ORD0234"/>
    <d v="2025-04-15T00:00:00"/>
    <s v="CUST057"/>
    <s v="PROD006"/>
    <s v="Maya"/>
    <n v="4"/>
    <n v="0"/>
    <x v="0"/>
    <n v="18"/>
    <n v="210"/>
    <n v="840"/>
    <n v="52.5"/>
    <n v="612"/>
    <s v="North"/>
    <s v="Bookshelf"/>
    <x v="0"/>
  </r>
  <r>
    <s v="ORD0235"/>
    <d v="2025-10-15T00:00:00"/>
    <s v="CUST079"/>
    <s v="PROD008"/>
    <s v="Bola"/>
    <n v="1"/>
    <n v="0"/>
    <x v="0"/>
    <n v="20"/>
    <n v="70"/>
    <n v="70"/>
    <n v="22.4"/>
    <n v="27.6"/>
    <s v="West"/>
    <s v="Blender"/>
    <x v="1"/>
  </r>
  <r>
    <s v="ORD0236"/>
    <d v="2025-08-24T00:00:00"/>
    <s v="CUST062"/>
    <s v="PROD009"/>
    <s v="Kevin"/>
    <n v="4"/>
    <n v="0.05"/>
    <x v="2"/>
    <n v="12"/>
    <n v="130"/>
    <n v="494"/>
    <n v="33.799999999999997"/>
    <n v="346.8"/>
    <s v="West"/>
    <s v="Air Fryer"/>
    <x v="2"/>
  </r>
  <r>
    <s v="ORD0237"/>
    <d v="2025-05-07T00:00:00"/>
    <s v="CUST070"/>
    <s v="PROD006"/>
    <s v="Bola"/>
    <n v="3"/>
    <n v="0.15"/>
    <x v="0"/>
    <n v="18"/>
    <n v="210"/>
    <n v="535.5"/>
    <n v="52.5"/>
    <n v="360"/>
    <s v="East"/>
    <s v="Bookshelf"/>
    <x v="1"/>
  </r>
  <r>
    <s v="ORD0238"/>
    <d v="2025-12-20T00:00:00"/>
    <s v="CUST039"/>
    <s v="PROD004"/>
    <s v="Maya"/>
    <n v="3"/>
    <n v="0.05"/>
    <x v="0"/>
    <n v="12"/>
    <n v="180"/>
    <n v="513"/>
    <n v="54"/>
    <n v="339"/>
    <s v="East"/>
    <s v="Office Chair"/>
    <x v="1"/>
  </r>
  <r>
    <s v="ORD0239"/>
    <d v="2025-10-21T00:00:00"/>
    <s v="CUST062"/>
    <s v="PROD006"/>
    <s v="Kevin"/>
    <n v="5"/>
    <n v="0.05"/>
    <x v="0"/>
    <n v="15"/>
    <n v="210"/>
    <n v="997.5"/>
    <n v="52.5"/>
    <n v="720"/>
    <s v="West"/>
    <s v="Bookshelf"/>
    <x v="2"/>
  </r>
  <r>
    <s v="ORD0240"/>
    <d v="2025-02-10T00:00:00"/>
    <s v="CUST051"/>
    <s v="PROD006"/>
    <s v="Bola"/>
    <n v="2"/>
    <n v="0.05"/>
    <x v="0"/>
    <n v="15"/>
    <n v="210"/>
    <n v="399"/>
    <n v="52.5"/>
    <n v="279"/>
    <s v="East"/>
    <s v="Bookshelf"/>
    <x v="1"/>
  </r>
  <r>
    <s v="ORD0241"/>
    <d v="2025-05-19T00:00:00"/>
    <s v="CUST033"/>
    <s v="PROD008"/>
    <s v="Kevin"/>
    <n v="2"/>
    <n v="0"/>
    <x v="1"/>
    <n v="20"/>
    <n v="70"/>
    <n v="140"/>
    <n v="22.4"/>
    <n v="75.2"/>
    <s v="North"/>
    <s v="Blender"/>
    <x v="0"/>
  </r>
  <r>
    <s v="ORD0242"/>
    <d v="2025-05-03T00:00:00"/>
    <s v="CUST035"/>
    <s v="PROD003"/>
    <s v="Grace"/>
    <n v="1"/>
    <n v="0.15"/>
    <x v="0"/>
    <n v="8"/>
    <n v="90"/>
    <n v="76.5"/>
    <n v="25.2"/>
    <n v="43.3"/>
    <s v="West"/>
    <s v="Headphones"/>
    <x v="1"/>
  </r>
  <r>
    <s v="ORD0243"/>
    <d v="2025-06-19T00:00:00"/>
    <s v="CUST068"/>
    <s v="PROD004"/>
    <s v="Maya"/>
    <n v="2"/>
    <n v="0"/>
    <x v="0"/>
    <n v="8"/>
    <n v="180"/>
    <n v="360"/>
    <n v="54"/>
    <n v="244"/>
    <s v="North"/>
    <s v="Office Chair"/>
    <x v="2"/>
  </r>
  <r>
    <s v="ORD0244"/>
    <d v="2025-09-01T00:00:00"/>
    <s v="CUST018"/>
    <s v="PROD001"/>
    <s v="Maya"/>
    <n v="5"/>
    <n v="0"/>
    <x v="0"/>
    <n v="20"/>
    <n v="850"/>
    <n v="4250"/>
    <n v="187"/>
    <n v="3295"/>
    <s v="South"/>
    <s v="Laptop"/>
    <x v="0"/>
  </r>
  <r>
    <s v="ORD0245"/>
    <d v="2025-02-15T00:00:00"/>
    <s v="CUST026"/>
    <s v="PROD005"/>
    <s v="Kevin"/>
    <n v="3"/>
    <n v="0.05"/>
    <x v="0"/>
    <n v="10"/>
    <n v="320"/>
    <n v="912"/>
    <n v="86.4"/>
    <n v="642.79999999999995"/>
    <s v="North"/>
    <s v="Desk"/>
    <x v="0"/>
  </r>
  <r>
    <s v="ORD0246"/>
    <d v="2025-04-01T00:00:00"/>
    <s v="CUST069"/>
    <s v="PROD001"/>
    <s v="Daniel"/>
    <n v="2"/>
    <n v="0.1"/>
    <x v="1"/>
    <n v="15"/>
    <n v="850"/>
    <n v="1530"/>
    <n v="187"/>
    <n v="1141"/>
    <s v="West"/>
    <s v="Laptop"/>
    <x v="0"/>
  </r>
  <r>
    <s v="ORD0247"/>
    <d v="2025-10-18T00:00:00"/>
    <s v="CUST064"/>
    <s v="PROD003"/>
    <s v="Kevin"/>
    <n v="3"/>
    <n v="0"/>
    <x v="0"/>
    <n v="8"/>
    <n v="90"/>
    <n v="270"/>
    <n v="25.2"/>
    <n v="186.4"/>
    <s v="East"/>
    <s v="Headphones"/>
    <x v="2"/>
  </r>
  <r>
    <s v="ORD0248"/>
    <d v="2025-03-10T00:00:00"/>
    <s v="CUST043"/>
    <s v="PROD005"/>
    <s v="Kevin"/>
    <n v="4"/>
    <n v="0.15"/>
    <x v="0"/>
    <n v="15"/>
    <n v="320"/>
    <n v="1088"/>
    <n v="86.4"/>
    <n v="727.4"/>
    <s v="South"/>
    <s v="Desk"/>
    <x v="2"/>
  </r>
  <r>
    <s v="ORD0249"/>
    <d v="2025-08-23T00:00:00"/>
    <s v="CUST035"/>
    <s v="PROD004"/>
    <s v="Bola"/>
    <n v="1"/>
    <n v="0.05"/>
    <x v="0"/>
    <n v="20"/>
    <n v="180"/>
    <n v="171"/>
    <n v="54"/>
    <n v="97"/>
    <s v="West"/>
    <s v="Office Chair"/>
    <x v="1"/>
  </r>
  <r>
    <s v="ORD0250"/>
    <d v="2025-04-09T00:00:00"/>
    <s v="CUST024"/>
    <s v="PROD001"/>
    <s v="Grace"/>
    <n v="3"/>
    <n v="0.05"/>
    <x v="0"/>
    <n v="18"/>
    <n v="850"/>
    <n v="2422.5"/>
    <n v="187"/>
    <n v="1843.5"/>
    <s v="East"/>
    <s v="Laptop"/>
    <x v="2"/>
  </r>
  <r>
    <s v="ORD0251"/>
    <d v="2025-12-09T00:00:00"/>
    <s v="CUST052"/>
    <s v="PROD007"/>
    <s v="Daniel"/>
    <n v="5"/>
    <n v="0.05"/>
    <x v="0"/>
    <n v="10"/>
    <n v="160"/>
    <n v="760"/>
    <n v="38.4"/>
    <n v="558"/>
    <s v="South"/>
    <s v="Microwave"/>
    <x v="2"/>
  </r>
  <r>
    <s v="ORD0252"/>
    <d v="2025-07-16T00:00:00"/>
    <s v="CUST018"/>
    <s v="PROD008"/>
    <s v="Grace"/>
    <n v="3"/>
    <n v="0"/>
    <x v="0"/>
    <n v="15"/>
    <n v="70"/>
    <n v="210"/>
    <n v="22.4"/>
    <n v="127.80000000000001"/>
    <s v="South"/>
    <s v="Blender"/>
    <x v="0"/>
  </r>
  <r>
    <s v="ORD0253"/>
    <d v="2025-01-06T00:00:00"/>
    <s v="CUST035"/>
    <s v="PROD006"/>
    <s v="Bola"/>
    <n v="3"/>
    <n v="0.15"/>
    <x v="0"/>
    <n v="20"/>
    <n v="210"/>
    <n v="535.5"/>
    <n v="52.5"/>
    <n v="358"/>
    <s v="West"/>
    <s v="Bookshelf"/>
    <x v="1"/>
  </r>
  <r>
    <s v="ORD0254"/>
    <d v="2025-03-23T00:00:00"/>
    <s v="CUST047"/>
    <s v="PROD004"/>
    <s v="Maya"/>
    <n v="1"/>
    <n v="0"/>
    <x v="0"/>
    <n v="20"/>
    <n v="180"/>
    <n v="180"/>
    <n v="54"/>
    <n v="106"/>
    <s v="North"/>
    <s v="Office Chair"/>
    <x v="1"/>
  </r>
  <r>
    <s v="ORD0255"/>
    <d v="2025-04-24T00:00:00"/>
    <s v="CUST065"/>
    <s v="PROD005"/>
    <s v="Grace"/>
    <n v="1"/>
    <n v="0.05"/>
    <x v="0"/>
    <n v="10"/>
    <n v="320"/>
    <n v="304"/>
    <n v="86.4"/>
    <n v="207.6"/>
    <s v="North"/>
    <s v="Desk"/>
    <x v="2"/>
  </r>
  <r>
    <s v="ORD0256"/>
    <d v="2025-12-26T00:00:00"/>
    <s v="CUST062"/>
    <s v="PROD003"/>
    <s v="Kevin"/>
    <n v="4"/>
    <n v="0.15"/>
    <x v="0"/>
    <n v="15"/>
    <n v="90"/>
    <n v="306"/>
    <n v="25.2"/>
    <n v="190.2"/>
    <s v="West"/>
    <s v="Headphones"/>
    <x v="2"/>
  </r>
  <r>
    <s v="ORD0257"/>
    <d v="2025-02-11T00:00:00"/>
    <s v="CUST069"/>
    <s v="PROD004"/>
    <s v="Kevin"/>
    <n v="2"/>
    <n v="0.15"/>
    <x v="1"/>
    <n v="15"/>
    <n v="180"/>
    <n v="306"/>
    <n v="54"/>
    <n v="183"/>
    <s v="West"/>
    <s v="Office Chair"/>
    <x v="0"/>
  </r>
  <r>
    <s v="ORD0258"/>
    <d v="2025-10-08T00:00:00"/>
    <s v="CUST068"/>
    <s v="PROD006"/>
    <s v="Kevin"/>
    <n v="1"/>
    <n v="0.15"/>
    <x v="0"/>
    <n v="10"/>
    <n v="210"/>
    <n v="178.5"/>
    <n v="52.5"/>
    <n v="116"/>
    <s v="North"/>
    <s v="Bookshelf"/>
    <x v="2"/>
  </r>
  <r>
    <s v="ORD0259"/>
    <d v="2025-09-24T00:00:00"/>
    <s v="CUST074"/>
    <s v="PROD009"/>
    <s v="Maya"/>
    <n v="2"/>
    <n v="0"/>
    <x v="0"/>
    <n v="8"/>
    <n v="130"/>
    <n v="260"/>
    <n v="33.799999999999997"/>
    <n v="184.4"/>
    <s v="West"/>
    <s v="Air Fryer"/>
    <x v="0"/>
  </r>
  <r>
    <s v="ORD0260"/>
    <d v="2025-08-17T00:00:00"/>
    <s v="CUST027"/>
    <s v="PROD010"/>
    <s v="Daniel"/>
    <n v="4"/>
    <n v="0"/>
    <x v="1"/>
    <n v="15"/>
    <n v="240"/>
    <n v="960"/>
    <n v="55.2"/>
    <n v="724.2"/>
    <s v="East"/>
    <s v="Vacuum Cleaner"/>
    <x v="2"/>
  </r>
  <r>
    <s v="ORD0261"/>
    <d v="2025-10-14T00:00:00"/>
    <s v="CUST017"/>
    <s v="PROD009"/>
    <s v="Maya"/>
    <n v="4"/>
    <n v="0.1"/>
    <x v="0"/>
    <n v="20"/>
    <n v="130"/>
    <n v="468"/>
    <n v="33.799999999999997"/>
    <n v="312.8"/>
    <s v="East"/>
    <s v="Air Fryer"/>
    <x v="0"/>
  </r>
  <r>
    <s v="ORD0262"/>
    <d v="2025-04-22T00:00:00"/>
    <s v="CUST040"/>
    <s v="PROD001"/>
    <s v="Kevin"/>
    <n v="4"/>
    <n v="0.05"/>
    <x v="1"/>
    <n v="8"/>
    <n v="850"/>
    <n v="3230"/>
    <n v="187"/>
    <n v="2474"/>
    <s v="South"/>
    <s v="Laptop"/>
    <x v="0"/>
  </r>
  <r>
    <s v="ORD0263"/>
    <d v="2025-01-31T00:00:00"/>
    <s v="CUST006"/>
    <s v="PROD007"/>
    <s v="Daniel"/>
    <n v="3"/>
    <n v="0"/>
    <x v="0"/>
    <n v="15"/>
    <n v="160"/>
    <n v="480"/>
    <n v="38.4"/>
    <n v="349.8"/>
    <s v="North"/>
    <s v="Microwave"/>
    <x v="0"/>
  </r>
  <r>
    <s v="ORD0264"/>
    <d v="2025-11-25T00:00:00"/>
    <s v="CUST005"/>
    <s v="PROD005"/>
    <s v="Maya"/>
    <n v="4"/>
    <n v="0"/>
    <x v="0"/>
    <n v="12"/>
    <n v="320"/>
    <n v="1280"/>
    <n v="86.4"/>
    <n v="922.4"/>
    <s v="West"/>
    <s v="Desk"/>
    <x v="2"/>
  </r>
  <r>
    <s v="ORD0265"/>
    <d v="2025-12-05T00:00:00"/>
    <s v="CUST049"/>
    <s v="PROD008"/>
    <s v="Kevin"/>
    <n v="4"/>
    <n v="0.1"/>
    <x v="0"/>
    <n v="10"/>
    <n v="70"/>
    <n v="252"/>
    <n v="22.4"/>
    <n v="152.4"/>
    <s v="East"/>
    <s v="Blender"/>
    <x v="1"/>
  </r>
  <r>
    <s v="ORD0266"/>
    <d v="2025-03-07T00:00:00"/>
    <s v="CUST045"/>
    <s v="PROD002"/>
    <s v="Grace"/>
    <n v="2"/>
    <n v="0.15"/>
    <x v="0"/>
    <n v="8"/>
    <n v="600"/>
    <n v="1020"/>
    <n v="120"/>
    <n v="772"/>
    <s v="West"/>
    <s v="Smartphone"/>
    <x v="2"/>
  </r>
  <r>
    <s v="ORD0267"/>
    <d v="2025-07-14T00:00:00"/>
    <s v="CUST003"/>
    <s v="PROD005"/>
    <s v="Grace"/>
    <n v="4"/>
    <n v="0.15"/>
    <x v="0"/>
    <n v="10"/>
    <n v="320"/>
    <n v="1088"/>
    <n v="86.4"/>
    <n v="732.4"/>
    <s v="West"/>
    <s v="Desk"/>
    <x v="0"/>
  </r>
  <r>
    <s v="ORD0268"/>
    <d v="2025-02-27T00:00:00"/>
    <s v="CUST059"/>
    <s v="PROD006"/>
    <s v="Daniel"/>
    <n v="2"/>
    <n v="0.05"/>
    <x v="0"/>
    <n v="20"/>
    <n v="210"/>
    <n v="399"/>
    <n v="52.5"/>
    <n v="274"/>
    <s v="North"/>
    <s v="Bookshelf"/>
    <x v="0"/>
  </r>
  <r>
    <s v="ORD0269"/>
    <d v="2025-02-21T00:00:00"/>
    <s v="CUST054"/>
    <s v="PROD010"/>
    <s v="Kevin"/>
    <n v="1"/>
    <n v="0"/>
    <x v="0"/>
    <n v="8"/>
    <n v="240"/>
    <n v="240"/>
    <n v="55.2"/>
    <n v="176.8"/>
    <s v="South"/>
    <s v="Vacuum Cleaner"/>
    <x v="2"/>
  </r>
  <r>
    <s v="ORD0270"/>
    <d v="2025-07-25T00:00:00"/>
    <s v="CUST058"/>
    <s v="PROD010"/>
    <s v="Maya"/>
    <n v="1"/>
    <n v="0"/>
    <x v="0"/>
    <n v="10"/>
    <n v="240"/>
    <n v="240"/>
    <n v="55.2"/>
    <n v="174.8"/>
    <s v="South"/>
    <s v="Vacuum Cleaner"/>
    <x v="2"/>
  </r>
  <r>
    <s v="ORD0271"/>
    <d v="2025-05-29T00:00:00"/>
    <s v="CUST070"/>
    <s v="PROD004"/>
    <s v="Grace"/>
    <n v="1"/>
    <n v="0"/>
    <x v="0"/>
    <n v="20"/>
    <n v="180"/>
    <n v="180"/>
    <n v="54"/>
    <n v="106"/>
    <s v="East"/>
    <s v="Office Chair"/>
    <x v="1"/>
  </r>
  <r>
    <s v="ORD0272"/>
    <d v="2025-06-14T00:00:00"/>
    <s v="CUST074"/>
    <s v="PROD006"/>
    <s v="Grace"/>
    <n v="5"/>
    <n v="0.15"/>
    <x v="0"/>
    <n v="12"/>
    <n v="210"/>
    <n v="892.5"/>
    <n v="52.5"/>
    <n v="618"/>
    <s v="West"/>
    <s v="Bookshelf"/>
    <x v="0"/>
  </r>
  <r>
    <s v="ORD0273"/>
    <d v="2025-02-01T00:00:00"/>
    <s v="CUST019"/>
    <s v="PROD009"/>
    <s v="Kevin"/>
    <n v="2"/>
    <n v="0.1"/>
    <x v="0"/>
    <n v="18"/>
    <n v="130"/>
    <n v="234"/>
    <n v="33.799999999999997"/>
    <n v="148.4"/>
    <s v="West"/>
    <s v="Air Fryer"/>
    <x v="1"/>
  </r>
  <r>
    <s v="ORD0274"/>
    <d v="2025-06-26T00:00:00"/>
    <s v="CUST023"/>
    <s v="PROD007"/>
    <s v="Maya"/>
    <n v="5"/>
    <n v="0.1"/>
    <x v="0"/>
    <n v="18"/>
    <n v="160"/>
    <n v="720"/>
    <n v="38.4"/>
    <n v="510"/>
    <s v="South"/>
    <s v="Microwave"/>
    <x v="0"/>
  </r>
  <r>
    <s v="ORD0275"/>
    <d v="2025-04-05T00:00:00"/>
    <s v="CUST041"/>
    <s v="PROD007"/>
    <s v="Kevin"/>
    <n v="4"/>
    <n v="0"/>
    <x v="0"/>
    <n v="15"/>
    <n v="160"/>
    <n v="640"/>
    <n v="38.4"/>
    <n v="471.4"/>
    <s v="West"/>
    <s v="Microwave"/>
    <x v="0"/>
  </r>
  <r>
    <s v="ORD0276"/>
    <d v="2025-01-30T00:00:00"/>
    <s v="CUST031"/>
    <s v="PROD004"/>
    <s v="Kevin"/>
    <n v="3"/>
    <n v="0"/>
    <x v="1"/>
    <n v="15"/>
    <n v="180"/>
    <n v="540"/>
    <n v="54"/>
    <n v="363"/>
    <s v="South"/>
    <s v="Office Chair"/>
    <x v="2"/>
  </r>
  <r>
    <s v="ORD0277"/>
    <d v="2025-05-11T00:00:00"/>
    <s v="CUST054"/>
    <s v="PROD009"/>
    <s v="Grace"/>
    <n v="5"/>
    <n v="0"/>
    <x v="0"/>
    <n v="12"/>
    <n v="130"/>
    <n v="650"/>
    <n v="33.799999999999997"/>
    <n v="469"/>
    <s v="South"/>
    <s v="Air Fryer"/>
    <x v="2"/>
  </r>
  <r>
    <s v="ORD0278"/>
    <d v="2025-04-08T00:00:00"/>
    <s v="CUST011"/>
    <s v="PROD008"/>
    <s v="Daniel"/>
    <n v="3"/>
    <n v="0"/>
    <x v="0"/>
    <n v="12"/>
    <n v="70"/>
    <n v="210"/>
    <n v="22.4"/>
    <n v="130.80000000000001"/>
    <s v="East"/>
    <s v="Blender"/>
    <x v="1"/>
  </r>
  <r>
    <s v="ORD0279"/>
    <d v="2025-04-07T00:00:00"/>
    <s v="CUST049"/>
    <s v="PROD010"/>
    <s v="Kevin"/>
    <n v="5"/>
    <n v="0"/>
    <x v="1"/>
    <n v="20"/>
    <n v="240"/>
    <n v="1200"/>
    <n v="55.2"/>
    <n v="904"/>
    <s v="East"/>
    <s v="Vacuum Cleaner"/>
    <x v="1"/>
  </r>
  <r>
    <s v="ORD0280"/>
    <d v="2025-06-20T00:00:00"/>
    <s v="CUST072"/>
    <s v="PROD004"/>
    <s v="Bola"/>
    <n v="4"/>
    <n v="0"/>
    <x v="1"/>
    <n v="8"/>
    <n v="180"/>
    <n v="720"/>
    <n v="54"/>
    <n v="496"/>
    <s v="South"/>
    <s v="Office Chair"/>
    <x v="1"/>
  </r>
  <r>
    <s v="ORD0281"/>
    <d v="2025-12-23T00:00:00"/>
    <s v="CUST028"/>
    <s v="PROD004"/>
    <s v="Kevin"/>
    <n v="1"/>
    <n v="0.1"/>
    <x v="1"/>
    <n v="20"/>
    <n v="180"/>
    <n v="162"/>
    <n v="54"/>
    <n v="88"/>
    <s v="East"/>
    <s v="Office Chair"/>
    <x v="1"/>
  </r>
  <r>
    <s v="ORD0282"/>
    <d v="2025-05-25T00:00:00"/>
    <s v="CUST027"/>
    <s v="PROD007"/>
    <s v="Maya"/>
    <n v="2"/>
    <n v="0.15"/>
    <x v="0"/>
    <n v="15"/>
    <n v="160"/>
    <n v="272"/>
    <n v="38.4"/>
    <n v="180.2"/>
    <s v="East"/>
    <s v="Microwave"/>
    <x v="2"/>
  </r>
  <r>
    <s v="ORD0283"/>
    <d v="2025-09-12T00:00:00"/>
    <s v="CUST069"/>
    <s v="PROD006"/>
    <s v="Maya"/>
    <n v="3"/>
    <n v="0.05"/>
    <x v="0"/>
    <n v="8"/>
    <n v="210"/>
    <n v="598.5"/>
    <n v="52.5"/>
    <n v="433"/>
    <s v="West"/>
    <s v="Bookshelf"/>
    <x v="0"/>
  </r>
  <r>
    <s v="ORD0284"/>
    <d v="2025-01-24T00:00:00"/>
    <s v="CUST061"/>
    <s v="PROD006"/>
    <s v="Kevin"/>
    <n v="2"/>
    <n v="0.05"/>
    <x v="0"/>
    <n v="10"/>
    <n v="210"/>
    <n v="399"/>
    <n v="52.5"/>
    <n v="284"/>
    <s v="West"/>
    <s v="Bookshelf"/>
    <x v="0"/>
  </r>
  <r>
    <s v="ORD0285"/>
    <d v="2025-10-24T00:00:00"/>
    <s v="CUST019"/>
    <s v="PROD001"/>
    <s v="Maya"/>
    <n v="3"/>
    <n v="0.15"/>
    <x v="1"/>
    <n v="12"/>
    <n v="850"/>
    <n v="2167.5"/>
    <n v="187"/>
    <n v="1594.5"/>
    <s v="West"/>
    <s v="Laptop"/>
    <x v="1"/>
  </r>
  <r>
    <s v="ORD0286"/>
    <d v="2025-05-06T00:00:00"/>
    <s v="CUST020"/>
    <s v="PROD004"/>
    <s v="Maya"/>
    <n v="3"/>
    <n v="0"/>
    <x v="0"/>
    <n v="18"/>
    <n v="180"/>
    <n v="540"/>
    <n v="54"/>
    <n v="360"/>
    <s v="South"/>
    <s v="Office Chair"/>
    <x v="0"/>
  </r>
  <r>
    <s v="ORD0287"/>
    <d v="2025-06-30T00:00:00"/>
    <s v="CUST044"/>
    <s v="PROD005"/>
    <s v="Grace"/>
    <n v="4"/>
    <n v="0.1"/>
    <x v="0"/>
    <n v="10"/>
    <n v="320"/>
    <n v="1152"/>
    <n v="86.4"/>
    <n v="796.4"/>
    <s v="West"/>
    <s v="Desk"/>
    <x v="1"/>
  </r>
  <r>
    <s v="ORD0288"/>
    <d v="2025-01-31T00:00:00"/>
    <s v="CUST070"/>
    <s v="PROD008"/>
    <s v="Kevin"/>
    <n v="2"/>
    <n v="0.15"/>
    <x v="2"/>
    <n v="8"/>
    <n v="70"/>
    <n v="119"/>
    <n v="22.4"/>
    <n v="66.2"/>
    <s v="East"/>
    <s v="Blender"/>
    <x v="1"/>
  </r>
  <r>
    <s v="ORD0289"/>
    <d v="2025-11-19T00:00:00"/>
    <s v="CUST010"/>
    <s v="PROD001"/>
    <s v="Grace"/>
    <n v="1"/>
    <n v="-0.05"/>
    <x v="0"/>
    <n v="8"/>
    <n v="850"/>
    <n v="892.5"/>
    <n v="187"/>
    <n v="697.5"/>
    <s v="West"/>
    <s v="Laptop"/>
    <x v="0"/>
  </r>
  <r>
    <s v="ORD0290"/>
    <d v="2025-01-31T00:00:00"/>
    <s v="CUST020"/>
    <s v="PROD001"/>
    <s v="Kevin"/>
    <n v="2"/>
    <n v="0.15"/>
    <x v="0"/>
    <n v="20"/>
    <n v="850"/>
    <n v="1445"/>
    <n v="187"/>
    <n v="1051"/>
    <s v="South"/>
    <s v="Laptop"/>
    <x v="0"/>
  </r>
  <r>
    <s v="ORD0291"/>
    <d v="2025-10-10T00:00:00"/>
    <s v="CUST079"/>
    <s v="PROD008"/>
    <s v="Maya"/>
    <n v="4"/>
    <n v="0"/>
    <x v="0"/>
    <n v="8"/>
    <n v="70"/>
    <n v="280"/>
    <n v="22.4"/>
    <n v="182.4"/>
    <s v="West"/>
    <s v="Blender"/>
    <x v="1"/>
  </r>
  <r>
    <s v="ORD0292"/>
    <d v="2025-01-09T00:00:00"/>
    <s v="CUST003"/>
    <s v="PROD009"/>
    <s v="Kevin"/>
    <n v="3"/>
    <n v="0.15"/>
    <x v="2"/>
    <n v="20"/>
    <n v="130"/>
    <n v="331.5"/>
    <n v="33.799999999999997"/>
    <n v="210.10000000000002"/>
    <s v="West"/>
    <s v="Air Fryer"/>
    <x v="0"/>
  </r>
  <r>
    <s v="ORD0293"/>
    <d v="2025-05-04T00:00:00"/>
    <s v="CUST056"/>
    <s v="PROD003"/>
    <s v="Grace"/>
    <n v="1"/>
    <n v="0"/>
    <x v="0"/>
    <n v="18"/>
    <n v="90"/>
    <n v="90"/>
    <n v="25.2"/>
    <n v="46.8"/>
    <s v="North"/>
    <s v="Headphones"/>
    <x v="1"/>
  </r>
  <r>
    <s v="ORD0294"/>
    <d v="2025-02-10T00:00:00"/>
    <s v="CUST068"/>
    <s v="PROD005"/>
    <s v="Bola"/>
    <n v="3"/>
    <n v="0.05"/>
    <x v="1"/>
    <n v="15"/>
    <n v="320"/>
    <n v="912"/>
    <n v="86.4"/>
    <n v="637.79999999999995"/>
    <s v="North"/>
    <s v="Desk"/>
    <x v="2"/>
  </r>
  <r>
    <s v="ORD0295"/>
    <d v="2025-02-11T00:00:00"/>
    <s v="CUST059"/>
    <s v="PROD010"/>
    <s v="Daniel"/>
    <n v="2"/>
    <n v="0"/>
    <x v="0"/>
    <n v="8"/>
    <n v="240"/>
    <n v="480"/>
    <n v="55.2"/>
    <n v="361.6"/>
    <s v="North"/>
    <s v="Vacuum Cleaner"/>
    <x v="0"/>
  </r>
  <r>
    <s v="ORD0296"/>
    <d v="2025-11-23T00:00:00"/>
    <s v="CUST052"/>
    <s v="PROD007"/>
    <s v="Daniel"/>
    <n v="4"/>
    <n v="0.15"/>
    <x v="0"/>
    <n v="20"/>
    <n v="160"/>
    <n v="544"/>
    <n v="38.4"/>
    <n v="370.4"/>
    <s v="South"/>
    <s v="Microwave"/>
    <x v="2"/>
  </r>
  <r>
    <s v="ORD0297"/>
    <d v="2025-06-19T00:00:00"/>
    <s v="CUST022"/>
    <s v="PROD002"/>
    <s v="Kevin"/>
    <n v="4"/>
    <n v="0.1"/>
    <x v="0"/>
    <n v="8"/>
    <n v="600"/>
    <n v="2160"/>
    <n v="120"/>
    <n v="1672"/>
    <s v="South"/>
    <s v="Smartphone"/>
    <x v="0"/>
  </r>
  <r>
    <s v="ORD0298"/>
    <d v="2025-12-21T00:00:00"/>
    <s v="CUST068"/>
    <s v="PROD001"/>
    <s v="Kevin"/>
    <n v="2"/>
    <n v="0"/>
    <x v="1"/>
    <n v="15"/>
    <n v="850"/>
    <n v="1700"/>
    <n v="187"/>
    <n v="1311"/>
    <s v="North"/>
    <s v="Laptop"/>
    <x v="2"/>
  </r>
  <r>
    <s v="ORD0299"/>
    <d v="2025-10-16T00:00:00"/>
    <s v="CUST035"/>
    <s v="PROD001"/>
    <s v="Daniel"/>
    <n v="1"/>
    <n v="0.05"/>
    <x v="1"/>
    <n v="10"/>
    <n v="850"/>
    <n v="807.5"/>
    <n v="187"/>
    <n v="610.5"/>
    <s v="West"/>
    <s v="Laptop"/>
    <x v="1"/>
  </r>
  <r>
    <s v="ORD0300"/>
    <d v="2025-12-31T00:00:00"/>
    <s v="CUST041"/>
    <s v="PROD001"/>
    <s v="Maya"/>
    <n v="2"/>
    <n v="0.15"/>
    <x v="0"/>
    <n v="8"/>
    <n v="850"/>
    <n v="1445"/>
    <n v="187"/>
    <n v="1063"/>
    <s v="West"/>
    <s v="Laptop"/>
    <x v="0"/>
  </r>
  <r>
    <s v="ORD0301"/>
    <d v="2025-07-19T00:00:00"/>
    <s v="CUST039"/>
    <s v="PROD003"/>
    <s v="Kevin"/>
    <n v="5"/>
    <n v="0"/>
    <x v="0"/>
    <n v="12"/>
    <n v="90"/>
    <n v="450"/>
    <n v="25.2"/>
    <n v="312"/>
    <s v="East"/>
    <s v="Headphones"/>
    <x v="1"/>
  </r>
  <r>
    <s v="ORD0302"/>
    <d v="2025-06-27T00:00:00"/>
    <s v="CUST050"/>
    <s v="PROD003"/>
    <s v="Daniel"/>
    <n v="1"/>
    <n v="0.15"/>
    <x v="0"/>
    <n v="8"/>
    <n v="90"/>
    <n v="76.5"/>
    <n v="25.2"/>
    <n v="43.3"/>
    <s v="West"/>
    <s v="Headphones"/>
    <x v="2"/>
  </r>
  <r>
    <s v="ORD0303"/>
    <d v="2025-11-11T00:00:00"/>
    <s v="CUST056"/>
    <s v="PROD004"/>
    <s v="Kevin"/>
    <n v="1"/>
    <n v="0.05"/>
    <x v="0"/>
    <n v="15"/>
    <n v="180"/>
    <n v="171"/>
    <n v="54"/>
    <n v="102"/>
    <s v="North"/>
    <s v="Office Chair"/>
    <x v="1"/>
  </r>
  <r>
    <s v="ORD0304"/>
    <d v="2025-07-02T00:00:00"/>
    <s v="CUST042"/>
    <s v="PROD001"/>
    <s v="Kevin"/>
    <n v="3"/>
    <n v="0.1"/>
    <x v="0"/>
    <n v="15"/>
    <n v="850"/>
    <n v="2295"/>
    <n v="187"/>
    <n v="1719"/>
    <s v="West"/>
    <s v="Laptop"/>
    <x v="0"/>
  </r>
  <r>
    <s v="ORD0305"/>
    <d v="2025-11-13T00:00:00"/>
    <s v="CUST056"/>
    <s v="PROD003"/>
    <s v="Bola"/>
    <n v="5"/>
    <n v="0.1"/>
    <x v="0"/>
    <n v="10"/>
    <n v="90"/>
    <n v="405"/>
    <n v="25.2"/>
    <n v="269"/>
    <s v="North"/>
    <s v="Headphones"/>
    <x v="1"/>
  </r>
  <r>
    <s v="ORD0306"/>
    <d v="2025-11-21T00:00:00"/>
    <s v="CUST010"/>
    <s v="PROD002"/>
    <s v="Grace"/>
    <n v="3"/>
    <n v="0"/>
    <x v="0"/>
    <n v="20"/>
    <n v="600"/>
    <n v="1800"/>
    <n v="120"/>
    <n v="1420"/>
    <s v="West"/>
    <s v="Smartphone"/>
    <x v="0"/>
  </r>
  <r>
    <s v="ORD0307"/>
    <d v="2025-06-07T00:00:00"/>
    <s v="CUST050"/>
    <s v="PROD006"/>
    <s v="Maya"/>
    <n v="3"/>
    <n v="0"/>
    <x v="0"/>
    <n v="12"/>
    <n v="210"/>
    <n v="630"/>
    <n v="52.5"/>
    <n v="460.5"/>
    <s v="West"/>
    <s v="Bookshelf"/>
    <x v="2"/>
  </r>
  <r>
    <s v="ORD0308"/>
    <d v="2025-08-18T00:00:00"/>
    <s v="CUST035"/>
    <s v="PROD002"/>
    <s v="Kevin"/>
    <n v="2"/>
    <n v="0"/>
    <x v="0"/>
    <n v="18"/>
    <n v="600"/>
    <n v="1200"/>
    <n v="120"/>
    <n v="942"/>
    <s v="West"/>
    <s v="Smartphone"/>
    <x v="1"/>
  </r>
  <r>
    <s v="ORD0309"/>
    <d v="2025-10-11T00:00:00"/>
    <s v="CUST066"/>
    <s v="PROD007"/>
    <s v="Daniel"/>
    <n v="1"/>
    <n v="0"/>
    <x v="0"/>
    <n v="18"/>
    <n v="160"/>
    <n v="160"/>
    <n v="38.4"/>
    <n v="103.6"/>
    <s v="West"/>
    <s v="Microwave"/>
    <x v="2"/>
  </r>
  <r>
    <s v="ORD0310"/>
    <d v="2025-07-18T00:00:00"/>
    <s v="CUST077"/>
    <s v="PROD006"/>
    <s v="Daniel"/>
    <n v="4"/>
    <n v="0"/>
    <x v="0"/>
    <n v="20"/>
    <n v="210"/>
    <n v="840"/>
    <n v="52.5"/>
    <n v="610"/>
    <s v="South"/>
    <s v="Bookshelf"/>
    <x v="2"/>
  </r>
  <r>
    <s v="ORD0311"/>
    <d v="2025-07-14T00:00:00"/>
    <s v="CUST072"/>
    <s v="PROD004"/>
    <s v="Grace"/>
    <n v="5"/>
    <n v="0.15"/>
    <x v="0"/>
    <n v="10"/>
    <n v="180"/>
    <n v="765"/>
    <n v="54"/>
    <n v="485"/>
    <s v="South"/>
    <s v="Office Chair"/>
    <x v="1"/>
  </r>
  <r>
    <s v="ORD0312"/>
    <d v="2025-03-27T00:00:00"/>
    <s v="CUST035"/>
    <s v="PROD005"/>
    <s v="Maya"/>
    <n v="3"/>
    <n v="0.1"/>
    <x v="0"/>
    <n v="12"/>
    <n v="320"/>
    <n v="864"/>
    <n v="86.4"/>
    <n v="592.79999999999995"/>
    <s v="West"/>
    <s v="Desk"/>
    <x v="1"/>
  </r>
  <r>
    <s v="ORD0313"/>
    <d v="2025-05-07T00:00:00"/>
    <s v="CUST054"/>
    <s v="PROD005"/>
    <s v="Maya"/>
    <n v="4"/>
    <n v="0"/>
    <x v="0"/>
    <n v="18"/>
    <n v="320"/>
    <n v="1280"/>
    <n v="86.4"/>
    <n v="916.4"/>
    <s v="South"/>
    <s v="Desk"/>
    <x v="2"/>
  </r>
  <r>
    <s v="ORD0314"/>
    <d v="2025-01-04T00:00:00"/>
    <s v="CUST079"/>
    <s v="PROD004"/>
    <s v="Maya"/>
    <n v="4"/>
    <n v="0"/>
    <x v="0"/>
    <n v="12"/>
    <n v="180"/>
    <n v="720"/>
    <n v="54"/>
    <n v="492"/>
    <s v="West"/>
    <s v="Office Chair"/>
    <x v="1"/>
  </r>
  <r>
    <s v="ORD0315"/>
    <d v="2025-11-30T00:00:00"/>
    <s v="CUST080"/>
    <s v="PROD007"/>
    <s v="Kevin"/>
    <n v="3"/>
    <n v="0.1"/>
    <x v="0"/>
    <n v="10"/>
    <n v="160"/>
    <n v="432"/>
    <n v="38.4"/>
    <n v="306.8"/>
    <s v="East"/>
    <s v="Microwave"/>
    <x v="2"/>
  </r>
  <r>
    <s v="ORD0316"/>
    <d v="2025-04-01T00:00:00"/>
    <s v="CUST039"/>
    <s v="PROD006"/>
    <s v="Maya"/>
    <n v="5"/>
    <n v="0"/>
    <x v="0"/>
    <n v="12"/>
    <n v="210"/>
    <n v="1050"/>
    <n v="52.5"/>
    <n v="775.5"/>
    <s v="East"/>
    <s v="Bookshelf"/>
    <x v="1"/>
  </r>
  <r>
    <s v="ORD0317"/>
    <d v="2025-05-24T00:00:00"/>
    <s v="CUST038"/>
    <s v="PROD008"/>
    <s v="Maya"/>
    <n v="5"/>
    <n v="0"/>
    <x v="0"/>
    <n v="12"/>
    <n v="70"/>
    <n v="350"/>
    <n v="22.4"/>
    <n v="226"/>
    <s v="South"/>
    <s v="Blender"/>
    <x v="2"/>
  </r>
  <r>
    <s v="ORD0318"/>
    <d v="2025-04-03T00:00:00"/>
    <s v="CUST015"/>
    <s v="PROD010"/>
    <s v="Kevin"/>
    <n v="2"/>
    <n v="0.15"/>
    <x v="2"/>
    <n v="8"/>
    <n v="240"/>
    <n v="408"/>
    <n v="55.2"/>
    <n v="289.60000000000002"/>
    <s v="South"/>
    <s v="Vacuum Cleaner"/>
    <x v="2"/>
  </r>
  <r>
    <s v="ORD0319"/>
    <d v="2025-02-05T00:00:00"/>
    <s v="CUST060"/>
    <s v="PROD004"/>
    <s v="Maya"/>
    <n v="4"/>
    <n v="0.05"/>
    <x v="1"/>
    <n v="20"/>
    <n v="180"/>
    <n v="684"/>
    <n v="54"/>
    <n v="448"/>
    <s v="North"/>
    <s v="Office Chair"/>
    <x v="2"/>
  </r>
  <r>
    <s v="ORD0320"/>
    <d v="2025-03-20T00:00:00"/>
    <s v="CUST064"/>
    <s v="PROD003"/>
    <s v="Maya"/>
    <n v="3"/>
    <n v="0"/>
    <x v="0"/>
    <n v="15"/>
    <n v="90"/>
    <n v="270"/>
    <n v="25.2"/>
    <n v="179.4"/>
    <s v="East"/>
    <s v="Headphones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ORD0001"/>
    <d v="2025-11-27T00:00:00"/>
    <s v="CUST041"/>
    <s v="PROD004"/>
    <s v="Bola"/>
    <n v="3"/>
    <n v="0"/>
    <s v="Paid"/>
    <n v="15"/>
    <n v="180"/>
    <n v="540"/>
    <n v="54"/>
    <n v="363"/>
    <s v="West"/>
    <s v="Office Chair"/>
    <s v="Corporate"/>
    <x v="0"/>
  </r>
  <r>
    <s v="ORD0002"/>
    <d v="2025-10-16T00:00:00"/>
    <s v="CUST041"/>
    <s v="PROD002"/>
    <s v="Daniel"/>
    <n v="1"/>
    <n v="0.1"/>
    <s v="Paid"/>
    <n v="8"/>
    <n v="600"/>
    <n v="540"/>
    <n v="120"/>
    <n v="412"/>
    <s v="West"/>
    <s v="Smartphone"/>
    <s v="Corporate"/>
    <x v="1"/>
  </r>
  <r>
    <s v="ORD0003"/>
    <d v="2025-06-28T00:00:00"/>
    <s v="CUST069"/>
    <s v="PROD004"/>
    <s v="Daniel"/>
    <n v="5"/>
    <n v="0.05"/>
    <s v="Paid"/>
    <n v="10"/>
    <n v="180"/>
    <n v="855"/>
    <n v="54"/>
    <n v="575"/>
    <s v="West"/>
    <s v="Office Chair"/>
    <s v="Corporate"/>
    <x v="2"/>
  </r>
  <r>
    <s v="ORD0004"/>
    <d v="2025-12-27T00:00:00"/>
    <s v="CUST048"/>
    <s v="PROD005"/>
    <s v="Bola"/>
    <n v="2"/>
    <n v="0.1"/>
    <s v="Pending"/>
    <n v="18"/>
    <n v="320"/>
    <n v="576"/>
    <n v="86.4"/>
    <n v="385.2"/>
    <s v="East"/>
    <s v="Desk"/>
    <s v="Home Office"/>
    <x v="3"/>
  </r>
  <r>
    <s v="ORD0005"/>
    <d v="2025-02-23T00:00:00"/>
    <s v="CUST068"/>
    <s v="PROD001"/>
    <s v="Grace"/>
    <n v="5"/>
    <n v="0.05"/>
    <s v="Pending"/>
    <n v="12"/>
    <n v="850"/>
    <n v="4037.5"/>
    <n v="187"/>
    <n v="3090.5"/>
    <s v="North"/>
    <s v="Laptop"/>
    <s v="Consumer"/>
    <x v="4"/>
  </r>
  <r>
    <s v="ORD0006"/>
    <d v="2025-11-06T00:00:00"/>
    <s v="CUST015"/>
    <s v="PROD002"/>
    <s v="Grace"/>
    <n v="5"/>
    <n v="0"/>
    <s v="Paid"/>
    <n v="20"/>
    <n v="600"/>
    <n v="3000"/>
    <n v="120"/>
    <n v="2380"/>
    <s v="South"/>
    <s v="Smartphone"/>
    <s v="Consumer"/>
    <x v="0"/>
  </r>
  <r>
    <s v="ORD0007"/>
    <d v="2025-01-27T00:00:00"/>
    <s v="CUST044"/>
    <s v="PROD004"/>
    <s v="Daniel"/>
    <n v="3"/>
    <n v="0.15"/>
    <s v="Paid"/>
    <n v="20"/>
    <n v="180"/>
    <n v="459"/>
    <n v="54"/>
    <n v="277"/>
    <s v="West"/>
    <s v="Office Chair"/>
    <s v="Home Office"/>
    <x v="5"/>
  </r>
  <r>
    <s v="ORD0008"/>
    <d v="2025-03-08T00:00:00"/>
    <s v="CUST055"/>
    <s v="PROD005"/>
    <s v="Bola"/>
    <n v="1"/>
    <n v="0"/>
    <s v="Paid"/>
    <n v="10"/>
    <n v="320"/>
    <n v="320"/>
    <n v="86.4"/>
    <n v="223.6"/>
    <s v="West"/>
    <s v="Desk"/>
    <s v="Consumer"/>
    <x v="6"/>
  </r>
  <r>
    <s v="ORD0009"/>
    <d v="2025-02-08T00:00:00"/>
    <s v="CUST057"/>
    <s v="PROD009"/>
    <s v="Grace"/>
    <n v="4"/>
    <n v="0.15"/>
    <s v="Paid"/>
    <n v="18"/>
    <n v="130"/>
    <n v="442"/>
    <n v="33.799999999999997"/>
    <n v="288.8"/>
    <s v="North"/>
    <s v="Air Fryer"/>
    <s v="Corporate"/>
    <x v="4"/>
  </r>
  <r>
    <s v="ORD0010"/>
    <d v="2025-03-07T00:00:00"/>
    <s v="CUST005"/>
    <s v="PROD006"/>
    <s v="Daniel"/>
    <n v="5"/>
    <n v="0.15"/>
    <s v="Paid"/>
    <n v="12"/>
    <n v="210"/>
    <n v="892.5"/>
    <n v="52.5"/>
    <n v="618"/>
    <s v="West"/>
    <s v="Bookshelf"/>
    <s v="Consumer"/>
    <x v="6"/>
  </r>
  <r>
    <s v="ORD0011"/>
    <d v="2025-12-08T00:00:00"/>
    <s v="CUST047"/>
    <s v="PROD001"/>
    <s v="Daniel"/>
    <n v="3"/>
    <n v="0"/>
    <s v="Paid"/>
    <n v="12"/>
    <n v="850"/>
    <n v="2550"/>
    <n v="187"/>
    <n v="1977"/>
    <s v="North"/>
    <s v="Laptop"/>
    <s v="Home Office"/>
    <x v="3"/>
  </r>
  <r>
    <s v="ORD0012"/>
    <d v="2025-05-02T00:00:00"/>
    <s v="CUST072"/>
    <s v="PROD007"/>
    <s v="Grace"/>
    <n v="5"/>
    <n v="0"/>
    <s v="Pending"/>
    <n v="10"/>
    <n v="160"/>
    <n v="800"/>
    <n v="38.4"/>
    <n v="598"/>
    <s v="South"/>
    <s v="Microwave"/>
    <s v="Home Office"/>
    <x v="7"/>
  </r>
  <r>
    <s v="ORD0013"/>
    <d v="2025-07-30T00:00:00"/>
    <s v="CUST053"/>
    <s v="PROD001"/>
    <s v="Grace"/>
    <n v="2"/>
    <n v="0.05"/>
    <s v="Pending"/>
    <n v="12"/>
    <n v="850"/>
    <n v="1615"/>
    <n v="187"/>
    <n v="1229"/>
    <s v="West"/>
    <s v="Laptop"/>
    <s v="Home Office"/>
    <x v="8"/>
  </r>
  <r>
    <s v="ORD0014"/>
    <d v="2025-04-24T00:00:00"/>
    <s v="CUST021"/>
    <s v="PROD002"/>
    <s v="Grace"/>
    <n v="4"/>
    <n v="0"/>
    <s v="Pending"/>
    <n v="15"/>
    <n v="600"/>
    <n v="2400"/>
    <n v="120"/>
    <n v="1905"/>
    <s v="East"/>
    <s v="Smartphone"/>
    <s v="Home Office"/>
    <x v="9"/>
  </r>
  <r>
    <s v="ORD0015"/>
    <d v="2025-04-09T00:00:00"/>
    <s v="CUST045"/>
    <s v="PROD005"/>
    <s v="Maya"/>
    <n v="2"/>
    <n v="0"/>
    <s v="Paid"/>
    <n v="12"/>
    <n v="320"/>
    <n v="640"/>
    <n v="86.4"/>
    <n v="455.2"/>
    <s v="West"/>
    <s v="Desk"/>
    <s v="Consumer"/>
    <x v="9"/>
  </r>
  <r>
    <s v="ORD0016"/>
    <d v="2025-07-24T00:00:00"/>
    <s v="CUST036"/>
    <s v="PROD002"/>
    <s v="Kevin"/>
    <n v="3"/>
    <n v="0.05"/>
    <s v="Paid"/>
    <n v="12"/>
    <n v="600"/>
    <n v="1710"/>
    <n v="120"/>
    <n v="1338"/>
    <s v="East"/>
    <s v="Smartphone"/>
    <s v="Corporate"/>
    <x v="8"/>
  </r>
  <r>
    <s v="ORD0017"/>
    <d v="2025-05-16T00:00:00"/>
    <s v="CUST004"/>
    <s v="PROD002"/>
    <s v="Daniel"/>
    <n v="3"/>
    <n v="0"/>
    <s v="Paid"/>
    <n v="8"/>
    <n v="600"/>
    <n v="1800"/>
    <n v="120"/>
    <n v="1432"/>
    <s v="West"/>
    <s v="Smartphone"/>
    <s v="Consumer"/>
    <x v="7"/>
  </r>
  <r>
    <s v="ORD0018"/>
    <d v="2025-09-19T00:00:00"/>
    <s v="CUST077"/>
    <s v="PROD007"/>
    <s v="Daniel"/>
    <n v="3"/>
    <n v="0.05"/>
    <s v="Paid"/>
    <n v="15"/>
    <n v="160"/>
    <n v="456"/>
    <n v="38.4"/>
    <n v="325.8"/>
    <s v="South"/>
    <s v="Microwave"/>
    <s v="Consumer"/>
    <x v="10"/>
  </r>
  <r>
    <s v="ORD0019"/>
    <d v="2025-01-01T00:00:00"/>
    <s v="CUST074"/>
    <s v="PROD004"/>
    <s v="Kevin"/>
    <n v="3"/>
    <n v="0"/>
    <s v="Paid"/>
    <n v="18"/>
    <n v="180"/>
    <n v="540"/>
    <n v="54"/>
    <n v="360"/>
    <s v="West"/>
    <s v="Office Chair"/>
    <s v="Corporate"/>
    <x v="5"/>
  </r>
  <r>
    <s v="ORD0020"/>
    <d v="2025-06-19T00:00:00"/>
    <s v="CUST026"/>
    <s v="PROD006"/>
    <s v="Kevin"/>
    <n v="4"/>
    <n v="0"/>
    <s v="Refunded"/>
    <n v="12"/>
    <n v="210"/>
    <n v="840"/>
    <n v="52.5"/>
    <n v="618"/>
    <s v="North"/>
    <s v="Bookshelf"/>
    <s v="Corporate"/>
    <x v="2"/>
  </r>
  <r>
    <s v="ORD0021"/>
    <d v="2025-06-17T00:00:00"/>
    <s v="CUST016"/>
    <s v="PROD005"/>
    <s v="Maya"/>
    <n v="5"/>
    <n v="0.05"/>
    <s v="Paid"/>
    <n v="20"/>
    <n v="320"/>
    <n v="1520"/>
    <n v="86.4"/>
    <n v="1068"/>
    <s v="West"/>
    <s v="Desk"/>
    <s v="Corporate"/>
    <x v="2"/>
  </r>
  <r>
    <s v="ORD0022"/>
    <d v="2025-07-14T00:00:00"/>
    <s v="CUST038"/>
    <s v="PROD009"/>
    <s v="Grace"/>
    <n v="2"/>
    <n v="0"/>
    <s v="Paid"/>
    <n v="18"/>
    <n v="130"/>
    <n v="260"/>
    <n v="33.799999999999997"/>
    <n v="174.4"/>
    <s v="South"/>
    <s v="Air Fryer"/>
    <s v="Consumer"/>
    <x v="8"/>
  </r>
  <r>
    <s v="ORD0023"/>
    <d v="2025-06-05T00:00:00"/>
    <s v="CUST073"/>
    <s v="PROD005"/>
    <s v="Bola"/>
    <n v="4"/>
    <n v="0.15"/>
    <s v="Pending"/>
    <n v="10"/>
    <n v="320"/>
    <n v="1088"/>
    <n v="86.4"/>
    <n v="732.4"/>
    <s v="West"/>
    <s v="Desk"/>
    <s v="Corporate"/>
    <x v="2"/>
  </r>
  <r>
    <s v="ORD0024"/>
    <d v="2025-08-15T00:00:00"/>
    <s v="CUST056"/>
    <s v="PROD010"/>
    <s v="Grace"/>
    <n v="5"/>
    <n v="0.05"/>
    <s v="Paid"/>
    <n v="18"/>
    <n v="240"/>
    <n v="1140"/>
    <n v="55.2"/>
    <n v="846"/>
    <s v="North"/>
    <s v="Vacuum Cleaner"/>
    <s v="Home Office"/>
    <x v="11"/>
  </r>
  <r>
    <s v="ORD0025"/>
    <d v="2025-11-21T00:00:00"/>
    <s v="CUST061"/>
    <s v="PROD003"/>
    <s v="Kevin"/>
    <n v="1"/>
    <n v="0.05"/>
    <s v="Paid"/>
    <n v="12"/>
    <n v="90"/>
    <n v="85.5"/>
    <n v="25.2"/>
    <n v="48.3"/>
    <s v="West"/>
    <s v="Headphones"/>
    <s v="Corporate"/>
    <x v="0"/>
  </r>
  <r>
    <s v="ORD0026"/>
    <d v="2025-03-17T00:00:00"/>
    <s v="CUST012"/>
    <s v="PROD004"/>
    <s v="Daniel"/>
    <n v="3"/>
    <n v="0"/>
    <s v="Pending"/>
    <n v="8"/>
    <n v="180"/>
    <n v="540"/>
    <n v="54"/>
    <n v="370"/>
    <s v="West"/>
    <s v="Office Chair"/>
    <s v="Consumer"/>
    <x v="6"/>
  </r>
  <r>
    <s v="ORD0027"/>
    <d v="2025-11-19T00:00:00"/>
    <s v="CUST032"/>
    <s v="PROD008"/>
    <s v="Kevin"/>
    <n v="5"/>
    <n v="0"/>
    <s v="Paid"/>
    <n v="10"/>
    <n v="70"/>
    <n v="350"/>
    <n v="22.4"/>
    <n v="228"/>
    <s v="North"/>
    <s v="Blender"/>
    <s v="Consumer"/>
    <x v="0"/>
  </r>
  <r>
    <s v="ORD0028"/>
    <d v="2025-12-19T00:00:00"/>
    <s v="CUST050"/>
    <s v="PROD008"/>
    <s v="Daniel"/>
    <n v="4"/>
    <n v="0"/>
    <s v="Paid"/>
    <n v="8"/>
    <n v="70"/>
    <n v="280"/>
    <n v="22.4"/>
    <n v="182.4"/>
    <s v="West"/>
    <s v="Blender"/>
    <s v="Consumer"/>
    <x v="3"/>
  </r>
  <r>
    <s v="ORD0029"/>
    <d v="2025-10-13T00:00:00"/>
    <s v="CUST055"/>
    <s v="PROD004"/>
    <s v="Grace"/>
    <n v="2"/>
    <n v="0.15"/>
    <s v="Paid"/>
    <n v="8"/>
    <n v="180"/>
    <n v="306"/>
    <n v="54"/>
    <n v="190"/>
    <s v="West"/>
    <s v="Office Chair"/>
    <s v="Consumer"/>
    <x v="1"/>
  </r>
  <r>
    <s v="ORD0030"/>
    <d v="2025-11-01T00:00:00"/>
    <s v="CUST059"/>
    <s v="PROD003"/>
    <s v="Bola"/>
    <n v="4"/>
    <n v="0.15"/>
    <s v="Refunded"/>
    <n v="15"/>
    <n v="90"/>
    <n v="306"/>
    <n v="25.2"/>
    <n v="190.2"/>
    <s v="North"/>
    <s v="Headphones"/>
    <s v="Corporate"/>
    <x v="0"/>
  </r>
  <r>
    <s v="ORD0031"/>
    <d v="2025-03-23T00:00:00"/>
    <s v="CUST079"/>
    <s v="PROD009"/>
    <s v="Maya"/>
    <n v="4"/>
    <n v="0.15"/>
    <s v="Paid"/>
    <n v="15"/>
    <n v="130"/>
    <n v="442"/>
    <n v="33.799999999999997"/>
    <n v="291.8"/>
    <s v="West"/>
    <s v="Air Fryer"/>
    <s v="Home Office"/>
    <x v="6"/>
  </r>
  <r>
    <s v="ORD0032"/>
    <d v="2025-05-03T00:00:00"/>
    <s v="CUST034"/>
    <s v="PROD004"/>
    <s v="Bola"/>
    <n v="3"/>
    <n v="0.15"/>
    <s v="Paid"/>
    <n v="15"/>
    <n v="180"/>
    <n v="459"/>
    <n v="54"/>
    <n v="282"/>
    <s v="East"/>
    <s v="Office Chair"/>
    <s v="Consumer"/>
    <x v="7"/>
  </r>
  <r>
    <s v="ORD0033"/>
    <d v="2025-10-04T00:00:00"/>
    <s v="CUST010"/>
    <s v="PROD005"/>
    <s v="Daniel"/>
    <n v="2"/>
    <n v="0.05"/>
    <s v="Paid"/>
    <n v="10"/>
    <n v="320"/>
    <n v="608"/>
    <n v="86.4"/>
    <n v="425.2"/>
    <s v="West"/>
    <s v="Desk"/>
    <s v="Corporate"/>
    <x v="1"/>
  </r>
  <r>
    <s v="ORD0034"/>
    <d v="2025-02-02T00:00:00"/>
    <s v="CUST020"/>
    <s v="PROD004"/>
    <s v="Maya"/>
    <n v="4"/>
    <n v="0"/>
    <s v="Paid"/>
    <n v="15"/>
    <n v="180"/>
    <n v="720"/>
    <n v="54"/>
    <n v="489"/>
    <s v="South"/>
    <s v="Office Chair"/>
    <s v="Corporate"/>
    <x v="4"/>
  </r>
  <r>
    <s v="ORD0035"/>
    <d v="2025-08-04T00:00:00"/>
    <s v="CUST043"/>
    <s v="PROD009"/>
    <s v="Maya"/>
    <n v="4"/>
    <n v="0.1"/>
    <s v="Paid"/>
    <n v="18"/>
    <n v="130"/>
    <n v="468"/>
    <n v="33.799999999999997"/>
    <n v="314.8"/>
    <s v="South"/>
    <s v="Air Fryer"/>
    <s v="Consumer"/>
    <x v="11"/>
  </r>
  <r>
    <s v="ORD0036"/>
    <d v="2025-06-30T00:00:00"/>
    <s v="CUST003"/>
    <s v="PROD010"/>
    <s v="Bola"/>
    <n v="4"/>
    <n v="0.1"/>
    <s v="Paid"/>
    <n v="15"/>
    <n v="240"/>
    <n v="864"/>
    <n v="55.2"/>
    <n v="628.20000000000005"/>
    <s v="West"/>
    <s v="Vacuum Cleaner"/>
    <s v="Corporate"/>
    <x v="2"/>
  </r>
  <r>
    <s v="ORD0037"/>
    <d v="2025-09-07T00:00:00"/>
    <s v="CUST054"/>
    <s v="PROD009"/>
    <s v="Grace"/>
    <n v="5"/>
    <n v="0.15"/>
    <s v="Pending"/>
    <n v="12"/>
    <n v="130"/>
    <n v="552.5"/>
    <n v="33.799999999999997"/>
    <n v="371.5"/>
    <s v="South"/>
    <s v="Air Fryer"/>
    <s v="Consumer"/>
    <x v="10"/>
  </r>
  <r>
    <s v="ORD0038"/>
    <d v="2025-12-14T00:00:00"/>
    <s v="CUST056"/>
    <s v="PROD008"/>
    <s v="Maya"/>
    <n v="1"/>
    <n v="0.1"/>
    <s v="Paid"/>
    <n v="20"/>
    <n v="70"/>
    <n v="63"/>
    <n v="22.4"/>
    <n v="20.6"/>
    <s v="North"/>
    <s v="Blender"/>
    <s v="Home Office"/>
    <x v="3"/>
  </r>
  <r>
    <s v="ORD0039"/>
    <d v="2025-07-21T00:00:00"/>
    <s v="CUST022"/>
    <s v="PROD008"/>
    <s v="Kevin"/>
    <n v="2"/>
    <n v="0.15"/>
    <s v="Paid"/>
    <n v="18"/>
    <n v="70"/>
    <n v="119"/>
    <n v="22.4"/>
    <n v="56.2"/>
    <s v="South"/>
    <s v="Blender"/>
    <s v="Corporate"/>
    <x v="8"/>
  </r>
  <r>
    <s v="ORD0040"/>
    <d v="2025-04-04T00:00:00"/>
    <s v="CUST004"/>
    <s v="PROD002"/>
    <s v="Daniel"/>
    <n v="4"/>
    <n v="0"/>
    <s v="Pending"/>
    <n v="12"/>
    <n v="600"/>
    <n v="2400"/>
    <n v="120"/>
    <n v="1908"/>
    <s v="West"/>
    <s v="Smartphone"/>
    <s v="Consumer"/>
    <x v="9"/>
  </r>
  <r>
    <s v="ORD0041"/>
    <d v="2025-07-14T00:00:00"/>
    <s v="CUST049"/>
    <s v="PROD006"/>
    <s v="Bola"/>
    <n v="2"/>
    <n v="0.1"/>
    <s v="Paid"/>
    <n v="15"/>
    <n v="210"/>
    <n v="378"/>
    <n v="52.5"/>
    <n v="258"/>
    <s v="East"/>
    <s v="Bookshelf"/>
    <s v="Home Office"/>
    <x v="8"/>
  </r>
  <r>
    <s v="ORD0042"/>
    <d v="2025-01-27T00:00:00"/>
    <s v="CUST033"/>
    <s v="PROD002"/>
    <s v="Bola"/>
    <n v="4"/>
    <n v="0"/>
    <s v="Paid"/>
    <n v="10"/>
    <n v="600"/>
    <n v="2400"/>
    <n v="120"/>
    <n v="1910"/>
    <s v="North"/>
    <s v="Smartphone"/>
    <s v="Corporate"/>
    <x v="5"/>
  </r>
  <r>
    <s v="ORD0043"/>
    <d v="2025-01-11T00:00:00"/>
    <s v="CUST009"/>
    <s v="PROD001"/>
    <s v="Kevin"/>
    <n v="1"/>
    <n v="0"/>
    <s v="Paid"/>
    <n v="10"/>
    <n v="850"/>
    <n v="850"/>
    <n v="187"/>
    <n v="653"/>
    <s v="East"/>
    <s v="Laptop"/>
    <s v="Consumer"/>
    <x v="5"/>
  </r>
  <r>
    <s v="ORD0044"/>
    <d v="2025-04-22T00:00:00"/>
    <s v="CUST031"/>
    <s v="PROD003"/>
    <s v="Maya"/>
    <n v="4"/>
    <n v="0"/>
    <s v="Paid"/>
    <n v="20"/>
    <n v="90"/>
    <n v="360"/>
    <n v="25.2"/>
    <n v="239.2"/>
    <s v="South"/>
    <s v="Headphones"/>
    <s v="Consumer"/>
    <x v="9"/>
  </r>
  <r>
    <s v="ORD0045"/>
    <d v="2025-02-28T00:00:00"/>
    <s v="CUST033"/>
    <s v="PROD006"/>
    <s v="Grace"/>
    <n v="2"/>
    <n v="0.15"/>
    <s v="Paid"/>
    <n v="12"/>
    <n v="210"/>
    <n v="357"/>
    <n v="52.5"/>
    <n v="240"/>
    <s v="North"/>
    <s v="Bookshelf"/>
    <s v="Corporate"/>
    <x v="4"/>
  </r>
  <r>
    <s v="ORD0046"/>
    <d v="2025-07-12T00:00:00"/>
    <s v="CUST014"/>
    <s v="PROD010"/>
    <s v="Maya"/>
    <n v="1"/>
    <n v="0.05"/>
    <s v="Paid"/>
    <n v="20"/>
    <n v="240"/>
    <n v="228"/>
    <n v="55.2"/>
    <n v="152.80000000000001"/>
    <s v="South"/>
    <s v="Vacuum Cleaner"/>
    <s v="Consumer"/>
    <x v="8"/>
  </r>
  <r>
    <s v="ORD0047"/>
    <d v="2025-06-04T00:00:00"/>
    <s v="CUST026"/>
    <s v="PROD002"/>
    <s v="Kevin"/>
    <n v="5"/>
    <n v="0"/>
    <s v="Paid"/>
    <n v="8"/>
    <n v="600"/>
    <n v="3000"/>
    <n v="120"/>
    <n v="2392"/>
    <s v="North"/>
    <s v="Smartphone"/>
    <s v="Corporate"/>
    <x v="2"/>
  </r>
  <r>
    <s v="ORD0048"/>
    <d v="2025-07-09T00:00:00"/>
    <s v="CUST073"/>
    <s v="PROD001"/>
    <s v="Daniel"/>
    <n v="3"/>
    <n v="0.15"/>
    <s v="Paid"/>
    <n v="18"/>
    <n v="850"/>
    <n v="2167.5"/>
    <n v="187"/>
    <n v="1588.5"/>
    <s v="West"/>
    <s v="Laptop"/>
    <s v="Corporate"/>
    <x v="8"/>
  </r>
  <r>
    <s v="ORD0049"/>
    <d v="2025-07-05T00:00:00"/>
    <s v="CUST044"/>
    <s v="PROD001"/>
    <s v="Maya"/>
    <n v="4"/>
    <n v="0.1"/>
    <s v="Paid"/>
    <n v="20"/>
    <n v="850"/>
    <n v="3060"/>
    <n v="187"/>
    <n v="2292"/>
    <s v="West"/>
    <s v="Laptop"/>
    <s v="Home Office"/>
    <x v="8"/>
  </r>
  <r>
    <s v="ORD0050"/>
    <d v="2025-05-19T00:00:00"/>
    <s v="CUST020"/>
    <s v="PROD007"/>
    <s v="Kevin"/>
    <n v="2"/>
    <n v="0.15"/>
    <s v="Refunded"/>
    <n v="18"/>
    <n v="160"/>
    <n v="272"/>
    <n v="38.4"/>
    <n v="177.2"/>
    <s v="South"/>
    <s v="Microwave"/>
    <s v="Corporate"/>
    <x v="7"/>
  </r>
  <r>
    <s v="ORD0051"/>
    <d v="2025-05-06T00:00:00"/>
    <s v="CUST062"/>
    <s v="PROD008"/>
    <s v="Daniel"/>
    <n v="4"/>
    <n v="0.15"/>
    <s v="Paid"/>
    <n v="12"/>
    <n v="70"/>
    <n v="238"/>
    <n v="22.4"/>
    <n v="136.4"/>
    <s v="West"/>
    <s v="Blender"/>
    <s v="Consumer"/>
    <x v="7"/>
  </r>
  <r>
    <s v="ORD0052"/>
    <d v="2025-07-14T00:00:00"/>
    <s v="CUST058"/>
    <s v="PROD004"/>
    <s v="Bola"/>
    <n v="4"/>
    <n v="0.15"/>
    <s v="Paid"/>
    <n v="8"/>
    <n v="180"/>
    <n v="612"/>
    <n v="54"/>
    <n v="388"/>
    <s v="South"/>
    <s v="Office Chair"/>
    <s v="Consumer"/>
    <x v="8"/>
  </r>
  <r>
    <s v="ORD0053"/>
    <d v="2025-05-13T00:00:00"/>
    <s v="CUST064"/>
    <s v="PROD006"/>
    <s v="Bola"/>
    <n v="2"/>
    <n v="0.1"/>
    <s v="Paid"/>
    <n v="12"/>
    <n v="210"/>
    <n v="378"/>
    <n v="52.5"/>
    <n v="261"/>
    <s v="East"/>
    <s v="Bookshelf"/>
    <s v="Consumer"/>
    <x v="7"/>
  </r>
  <r>
    <s v="ORD0054"/>
    <d v="2025-04-08T00:00:00"/>
    <s v="CUST077"/>
    <s v="PROD005"/>
    <s v="Daniel"/>
    <n v="5"/>
    <n v="0"/>
    <s v="Paid"/>
    <n v="10"/>
    <n v="320"/>
    <n v="1600"/>
    <n v="86.4"/>
    <n v="1158"/>
    <s v="South"/>
    <s v="Desk"/>
    <s v="Consumer"/>
    <x v="9"/>
  </r>
  <r>
    <s v="ORD0055"/>
    <d v="2025-11-27T00:00:00"/>
    <s v="CUST053"/>
    <s v="PROD008"/>
    <s v="Maya"/>
    <n v="5"/>
    <n v="0"/>
    <s v="Paid"/>
    <n v="15"/>
    <n v="70"/>
    <n v="350"/>
    <n v="22.4"/>
    <n v="223"/>
    <s v="West"/>
    <s v="Blender"/>
    <s v="Home Office"/>
    <x v="0"/>
  </r>
  <r>
    <s v="ORD0056"/>
    <d v="2025-05-05T00:00:00"/>
    <s v="CUST003"/>
    <s v="PROD002"/>
    <s v="Bola"/>
    <n v="3"/>
    <n v="0"/>
    <s v="Paid"/>
    <n v="20"/>
    <n v="600"/>
    <n v="1800"/>
    <n v="120"/>
    <n v="1420"/>
    <s v="West"/>
    <s v="Smartphone"/>
    <s v="Corporate"/>
    <x v="7"/>
  </r>
  <r>
    <s v="ORD0057"/>
    <d v="2025-08-06T00:00:00"/>
    <s v="CUST075"/>
    <s v="PROD006"/>
    <s v="Kevin"/>
    <n v="4"/>
    <n v="0.15"/>
    <s v="Paid"/>
    <n v="12"/>
    <n v="210"/>
    <n v="714"/>
    <n v="52.5"/>
    <n v="492"/>
    <s v="South"/>
    <s v="Bookshelf"/>
    <s v="Home Office"/>
    <x v="11"/>
  </r>
  <r>
    <s v="ORD0058"/>
    <d v="2025-03-03T00:00:00"/>
    <s v="CUST046"/>
    <s v="PROD008"/>
    <s v="Grace"/>
    <n v="3"/>
    <n v="0.05"/>
    <s v="Paid"/>
    <n v="12"/>
    <n v="70"/>
    <n v="199.5"/>
    <n v="22.4"/>
    <n v="120.30000000000001"/>
    <s v="North"/>
    <s v="Blender"/>
    <s v="Consumer"/>
    <x v="6"/>
  </r>
  <r>
    <s v="ORD0059"/>
    <d v="2025-09-05T00:00:00"/>
    <s v="CUST016"/>
    <s v="PROD009"/>
    <s v="Bola"/>
    <n v="2"/>
    <n v="0"/>
    <s v="Paid"/>
    <n v="20"/>
    <n v="130"/>
    <n v="260"/>
    <n v="33.799999999999997"/>
    <n v="172.4"/>
    <s v="West"/>
    <s v="Air Fryer"/>
    <s v="Corporate"/>
    <x v="10"/>
  </r>
  <r>
    <s v="ORD0060"/>
    <d v="2025-04-10T00:00:00"/>
    <s v="CUST076"/>
    <s v="PROD009"/>
    <s v="Bola"/>
    <n v="5"/>
    <n v="0.05"/>
    <s v="Refunded"/>
    <n v="10"/>
    <n v="130"/>
    <n v="617.5"/>
    <n v="33.799999999999997"/>
    <n v="438.5"/>
    <s v="South"/>
    <s v="Air Fryer"/>
    <s v="Home Office"/>
    <x v="9"/>
  </r>
  <r>
    <s v="ORD0061"/>
    <d v="2025-03-06T00:00:00"/>
    <s v="CUST047"/>
    <s v="PROD003"/>
    <s v="Bola"/>
    <n v="3"/>
    <n v="0"/>
    <s v="Paid"/>
    <n v="8"/>
    <n v="90"/>
    <n v="270"/>
    <n v="25.2"/>
    <n v="186.4"/>
    <s v="North"/>
    <s v="Headphones"/>
    <s v="Home Office"/>
    <x v="6"/>
  </r>
  <r>
    <s v="ORD0062"/>
    <d v="2025-09-09T00:00:00"/>
    <s v="CUST007"/>
    <s v="PROD009"/>
    <s v="Daniel"/>
    <n v="3"/>
    <n v="0"/>
    <s v="Paid"/>
    <n v="8"/>
    <n v="130"/>
    <n v="390"/>
    <n v="33.799999999999997"/>
    <n v="280.60000000000002"/>
    <s v="East"/>
    <s v="Air Fryer"/>
    <s v="Consumer"/>
    <x v="10"/>
  </r>
  <r>
    <s v="ORD0063"/>
    <d v="2025-04-05T00:00:00"/>
    <s v="CUST074"/>
    <s v="PROD005"/>
    <s v="Daniel"/>
    <n v="4"/>
    <n v="0.1"/>
    <s v="Paid"/>
    <n v="12"/>
    <n v="320"/>
    <n v="1152"/>
    <n v="86.4"/>
    <n v="794.4"/>
    <s v="West"/>
    <s v="Desk"/>
    <s v="Corporate"/>
    <x v="9"/>
  </r>
  <r>
    <s v="ORD0064"/>
    <d v="2025-10-23T00:00:00"/>
    <s v="CUST062"/>
    <s v="PROD002"/>
    <s v="Daniel"/>
    <n v="1"/>
    <n v="0.1"/>
    <s v="Paid"/>
    <n v="10"/>
    <n v="600"/>
    <n v="540"/>
    <n v="120"/>
    <n v="410"/>
    <s v="West"/>
    <s v="Smartphone"/>
    <s v="Consumer"/>
    <x v="1"/>
  </r>
  <r>
    <s v="ORD0065"/>
    <d v="2025-03-02T00:00:00"/>
    <s v="CUST020"/>
    <s v="PROD010"/>
    <s v="Kevin"/>
    <n v="3"/>
    <n v="0"/>
    <s v="Refunded"/>
    <n v="15"/>
    <n v="240"/>
    <n v="720"/>
    <n v="55.2"/>
    <n v="539.4"/>
    <s v="South"/>
    <s v="Vacuum Cleaner"/>
    <s v="Corporate"/>
    <x v="6"/>
  </r>
  <r>
    <s v="ORD0066"/>
    <d v="2025-07-14T00:00:00"/>
    <s v="CUST078"/>
    <s v="PROD010"/>
    <s v="Maya"/>
    <n v="5"/>
    <n v="0"/>
    <s v="Paid"/>
    <n v="15"/>
    <n v="240"/>
    <n v="1200"/>
    <n v="55.2"/>
    <n v="909"/>
    <s v="South"/>
    <s v="Vacuum Cleaner"/>
    <s v="Home Office"/>
    <x v="8"/>
  </r>
  <r>
    <s v="ORD0067"/>
    <d v="2025-01-31T00:00:00"/>
    <s v="CUST039"/>
    <s v="PROD010"/>
    <s v="Kevin"/>
    <n v="4"/>
    <n v="0.05"/>
    <s v="Paid"/>
    <n v="20"/>
    <n v="240"/>
    <n v="912"/>
    <n v="55.2"/>
    <n v="671.2"/>
    <s v="East"/>
    <s v="Vacuum Cleaner"/>
    <s v="Home Office"/>
    <x v="5"/>
  </r>
  <r>
    <s v="ORD0068"/>
    <d v="2025-03-22T00:00:00"/>
    <s v="CUST013"/>
    <s v="PROD004"/>
    <s v="Grace"/>
    <n v="2"/>
    <n v="0.05"/>
    <s v="Paid"/>
    <n v="10"/>
    <n v="180"/>
    <n v="342"/>
    <n v="54"/>
    <n v="224"/>
    <s v="East"/>
    <s v="Office Chair"/>
    <s v="Home Office"/>
    <x v="6"/>
  </r>
  <r>
    <s v="ORD0069"/>
    <d v="2025-12-19T00:00:00"/>
    <s v="CUST071"/>
    <s v="PROD002"/>
    <s v="Kevin"/>
    <n v="2"/>
    <n v="0"/>
    <s v="Paid"/>
    <n v="15"/>
    <n v="600"/>
    <n v="1200"/>
    <n v="120"/>
    <n v="945"/>
    <s v="North"/>
    <s v="Smartphone"/>
    <s v="Consumer"/>
    <x v="3"/>
  </r>
  <r>
    <s v="ORD0070"/>
    <d v="2025-12-26T00:00:00"/>
    <s v="CUST038"/>
    <s v="PROD001"/>
    <s v="Maya"/>
    <n v="2"/>
    <n v="0.05"/>
    <s v="Paid"/>
    <n v="8"/>
    <n v="850"/>
    <n v="1615"/>
    <n v="187"/>
    <n v="1233"/>
    <s v="South"/>
    <s v="Laptop"/>
    <s v="Consumer"/>
    <x v="3"/>
  </r>
  <r>
    <s v="ORD0071"/>
    <d v="2025-10-06T00:00:00"/>
    <s v="CUST030"/>
    <s v="PROD005"/>
    <s v="Grace"/>
    <n v="5"/>
    <n v="0"/>
    <s v="Paid"/>
    <n v="20"/>
    <n v="320"/>
    <n v="1600"/>
    <n v="86.4"/>
    <n v="1148"/>
    <s v="North"/>
    <s v="Desk"/>
    <s v="Consumer"/>
    <x v="1"/>
  </r>
  <r>
    <s v="ORD0072"/>
    <d v="2025-06-07T00:00:00"/>
    <s v="CUST020"/>
    <s v="PROD005"/>
    <s v="Kevin"/>
    <n v="2"/>
    <n v="0"/>
    <s v="Paid"/>
    <n v="20"/>
    <n v="320"/>
    <n v="640"/>
    <n v="86.4"/>
    <n v="447.2"/>
    <s v="South"/>
    <s v="Desk"/>
    <s v="Corporate"/>
    <x v="2"/>
  </r>
  <r>
    <s v="ORD0073"/>
    <d v="2025-06-05T00:00:00"/>
    <s v="CUST073"/>
    <s v="PROD005"/>
    <s v="Maya"/>
    <n v="4"/>
    <n v="0"/>
    <s v="Paid"/>
    <n v="12"/>
    <n v="320"/>
    <n v="1280"/>
    <n v="86.4"/>
    <n v="922.4"/>
    <s v="West"/>
    <s v="Desk"/>
    <s v="Corporate"/>
    <x v="2"/>
  </r>
  <r>
    <s v="ORD0074"/>
    <d v="2025-01-21T00:00:00"/>
    <s v="CUST065"/>
    <s v="PROD009"/>
    <s v="Maya"/>
    <n v="4"/>
    <n v="0.1"/>
    <s v="Paid"/>
    <n v="20"/>
    <n v="130"/>
    <n v="468"/>
    <n v="33.799999999999997"/>
    <n v="312.8"/>
    <s v="North"/>
    <s v="Air Fryer"/>
    <s v="Consumer"/>
    <x v="5"/>
  </r>
  <r>
    <s v="ORD0075"/>
    <d v="2025-12-12T00:00:00"/>
    <s v="CUST042"/>
    <s v="PROD010"/>
    <s v="Kevin"/>
    <n v="3"/>
    <n v="0"/>
    <s v="Paid"/>
    <n v="18"/>
    <n v="240"/>
    <n v="720"/>
    <n v="55.2"/>
    <n v="536.4"/>
    <s v="West"/>
    <s v="Vacuum Cleaner"/>
    <s v="Corporate"/>
    <x v="3"/>
  </r>
  <r>
    <s v="ORD0076"/>
    <d v="2025-03-31T00:00:00"/>
    <s v="CUST003"/>
    <s v="PROD005"/>
    <s v="Maya"/>
    <n v="5"/>
    <n v="0"/>
    <s v="Paid"/>
    <n v="18"/>
    <n v="320"/>
    <n v="1600"/>
    <n v="86.4"/>
    <n v="1150"/>
    <s v="West"/>
    <s v="Desk"/>
    <s v="Corporate"/>
    <x v="6"/>
  </r>
  <r>
    <s v="ORD0077"/>
    <d v="2025-09-09T00:00:00"/>
    <s v="CUST057"/>
    <s v="PROD005"/>
    <s v="Daniel"/>
    <n v="2"/>
    <n v="0.15"/>
    <s v="Paid"/>
    <n v="15"/>
    <n v="320"/>
    <n v="544"/>
    <n v="86.4"/>
    <n v="356.2"/>
    <s v="North"/>
    <s v="Desk"/>
    <s v="Corporate"/>
    <x v="10"/>
  </r>
  <r>
    <s v="ORD0078"/>
    <d v="2025-03-24T00:00:00"/>
    <s v="CUST045"/>
    <s v="PROD007"/>
    <s v="Bola"/>
    <n v="3"/>
    <n v="0.05"/>
    <s v="Paid"/>
    <n v="15"/>
    <n v="160"/>
    <n v="456"/>
    <n v="38.4"/>
    <n v="325.8"/>
    <s v="West"/>
    <s v="Microwave"/>
    <s v="Consumer"/>
    <x v="6"/>
  </r>
  <r>
    <s v="ORD0079"/>
    <d v="2025-02-15T00:00:00"/>
    <s v="CUST064"/>
    <s v="PROD005"/>
    <s v="Bola"/>
    <n v="4"/>
    <n v="0.15"/>
    <s v="Paid"/>
    <n v="12"/>
    <n v="320"/>
    <n v="1088"/>
    <n v="86.4"/>
    <n v="730.4"/>
    <s v="East"/>
    <s v="Desk"/>
    <s v="Consumer"/>
    <x v="4"/>
  </r>
  <r>
    <s v="ORD0080"/>
    <d v="2025-01-01T00:00:00"/>
    <s v="CUST042"/>
    <s v="PROD002"/>
    <s v="Kevin"/>
    <n v="4"/>
    <n v="0.15"/>
    <s v="Pending"/>
    <n v="15"/>
    <n v="600"/>
    <n v="2040"/>
    <n v="120"/>
    <n v="1545"/>
    <s v="West"/>
    <s v="Smartphone"/>
    <s v="Corporate"/>
    <x v="5"/>
  </r>
  <r>
    <s v="ORD0081"/>
    <d v="2025-09-13T00:00:00"/>
    <s v="CUST053"/>
    <s v="PROD001"/>
    <s v="Maya"/>
    <n v="2"/>
    <n v="0.15"/>
    <s v="Paid"/>
    <n v="8"/>
    <n v="850"/>
    <n v="1445"/>
    <n v="187"/>
    <n v="1063"/>
    <s v="West"/>
    <s v="Laptop"/>
    <s v="Home Office"/>
    <x v="10"/>
  </r>
  <r>
    <s v="ORD0082"/>
    <d v="2025-08-13T00:00:00"/>
    <s v="CUST027"/>
    <s v="PROD005"/>
    <s v="Maya"/>
    <n v="5"/>
    <n v="0"/>
    <s v="Pending"/>
    <n v="8"/>
    <n v="320"/>
    <n v="1600"/>
    <n v="86.4"/>
    <n v="1160"/>
    <s v="East"/>
    <s v="Desk"/>
    <s v="Consumer"/>
    <x v="11"/>
  </r>
  <r>
    <s v="ORD0083"/>
    <d v="2025-01-08T00:00:00"/>
    <s v="CUST004"/>
    <s v="PROD010"/>
    <s v="Kevin"/>
    <n v="2"/>
    <n v="0"/>
    <s v="Paid"/>
    <n v="15"/>
    <n v="240"/>
    <n v="480"/>
    <n v="55.2"/>
    <n v="354.6"/>
    <s v="West"/>
    <s v="Vacuum Cleaner"/>
    <s v="Consumer"/>
    <x v="5"/>
  </r>
  <r>
    <s v="ORD0084"/>
    <d v="2025-11-28T00:00:00"/>
    <s v="CUST012"/>
    <s v="PROD004"/>
    <s v="Grace"/>
    <n v="1"/>
    <n v="0.1"/>
    <s v="Refunded"/>
    <n v="15"/>
    <n v="180"/>
    <n v="162"/>
    <n v="54"/>
    <n v="93"/>
    <s v="West"/>
    <s v="Office Chair"/>
    <s v="Consumer"/>
    <x v="0"/>
  </r>
  <r>
    <s v="ORD0085"/>
    <d v="2025-08-30T00:00:00"/>
    <s v="CUST038"/>
    <s v="PROD009"/>
    <s v="Grace"/>
    <n v="3"/>
    <n v="0.1"/>
    <s v="Pending"/>
    <n v="15"/>
    <n v="130"/>
    <n v="351"/>
    <n v="33.799999999999997"/>
    <n v="234.60000000000002"/>
    <s v="South"/>
    <s v="Air Fryer"/>
    <s v="Consumer"/>
    <x v="11"/>
  </r>
  <r>
    <s v="ORD0086"/>
    <d v="2025-09-18T00:00:00"/>
    <s v="CUST071"/>
    <s v="PROD003"/>
    <s v="Grace"/>
    <n v="4"/>
    <n v="0"/>
    <s v="Pending"/>
    <n v="8"/>
    <n v="90"/>
    <n v="360"/>
    <n v="25.2"/>
    <n v="251.2"/>
    <s v="North"/>
    <s v="Headphones"/>
    <s v="Consumer"/>
    <x v="10"/>
  </r>
  <r>
    <s v="ORD0087"/>
    <d v="2025-01-02T00:00:00"/>
    <s v="CUST036"/>
    <s v="PROD007"/>
    <s v="Bola"/>
    <n v="3"/>
    <n v="0.15"/>
    <s v="Paid"/>
    <n v="20"/>
    <n v="160"/>
    <n v="408"/>
    <n v="38.4"/>
    <n v="272.8"/>
    <s v="East"/>
    <s v="Microwave"/>
    <s v="Corporate"/>
    <x v="5"/>
  </r>
  <r>
    <s v="ORD0088"/>
    <d v="2025-08-17T00:00:00"/>
    <s v="CUST039"/>
    <s v="PROD010"/>
    <s v="Kevin"/>
    <n v="5"/>
    <n v="0.1"/>
    <s v="Pending"/>
    <n v="15"/>
    <n v="240"/>
    <n v="1080"/>
    <n v="55.2"/>
    <n v="789"/>
    <s v="East"/>
    <s v="Vacuum Cleaner"/>
    <s v="Home Office"/>
    <x v="11"/>
  </r>
  <r>
    <s v="ORD0089"/>
    <d v="2025-06-14T00:00:00"/>
    <s v="CUST045"/>
    <s v="PROD006"/>
    <s v="Grace"/>
    <n v="5"/>
    <n v="0.15"/>
    <s v="Paid"/>
    <n v="20"/>
    <n v="210"/>
    <n v="892.5"/>
    <n v="52.5"/>
    <n v="610"/>
    <s v="West"/>
    <s v="Bookshelf"/>
    <s v="Consumer"/>
    <x v="2"/>
  </r>
  <r>
    <s v="ORD0090"/>
    <d v="2025-07-30T00:00:00"/>
    <s v="CUST031"/>
    <s v="PROD010"/>
    <s v="Daniel"/>
    <n v="4"/>
    <n v="0"/>
    <s v="Pending"/>
    <n v="12"/>
    <n v="240"/>
    <n v="960"/>
    <n v="55.2"/>
    <n v="727.2"/>
    <s v="South"/>
    <s v="Vacuum Cleaner"/>
    <s v="Consumer"/>
    <x v="8"/>
  </r>
  <r>
    <s v="ORD0091"/>
    <d v="2025-01-19T00:00:00"/>
    <s v="CUST061"/>
    <s v="PROD007"/>
    <s v="Grace"/>
    <n v="4"/>
    <n v="0"/>
    <s v="Paid"/>
    <n v="18"/>
    <n v="160"/>
    <n v="640"/>
    <n v="38.4"/>
    <n v="468.4"/>
    <s v="West"/>
    <s v="Microwave"/>
    <s v="Corporate"/>
    <x v="5"/>
  </r>
  <r>
    <s v="ORD0092"/>
    <d v="2025-08-22T00:00:00"/>
    <s v="CUST076"/>
    <s v="PROD006"/>
    <s v="Daniel"/>
    <n v="1"/>
    <n v="0.1"/>
    <s v="Paid"/>
    <n v="20"/>
    <n v="210"/>
    <n v="189"/>
    <n v="52.5"/>
    <n v="116.5"/>
    <s v="South"/>
    <s v="Bookshelf"/>
    <s v="Home Office"/>
    <x v="11"/>
  </r>
  <r>
    <s v="ORD0093"/>
    <d v="2025-05-16T00:00:00"/>
    <s v="CUST019"/>
    <s v="PROD007"/>
    <s v="Bola"/>
    <n v="2"/>
    <n v="0"/>
    <s v="Paid"/>
    <n v="18"/>
    <n v="160"/>
    <n v="320"/>
    <n v="38.4"/>
    <n v="225.2"/>
    <s v="West"/>
    <s v="Microwave"/>
    <s v="Home Office"/>
    <x v="7"/>
  </r>
  <r>
    <s v="ORD0094"/>
    <d v="2025-06-12T00:00:00"/>
    <s v="CUST051"/>
    <s v="PROD002"/>
    <s v="Maya"/>
    <n v="3"/>
    <n v="0.15"/>
    <s v="Paid"/>
    <n v="18"/>
    <n v="600"/>
    <n v="1530"/>
    <n v="120"/>
    <n v="1152"/>
    <s v="East"/>
    <s v="Smartphone"/>
    <s v="Home Office"/>
    <x v="2"/>
  </r>
  <r>
    <s v="ORD0095"/>
    <d v="2025-05-28T00:00:00"/>
    <s v="CUST005"/>
    <s v="PROD010"/>
    <s v="Grace"/>
    <n v="1"/>
    <n v="0"/>
    <s v="Paid"/>
    <n v="20"/>
    <n v="240"/>
    <n v="240"/>
    <n v="55.2"/>
    <n v="164.8"/>
    <s v="West"/>
    <s v="Vacuum Cleaner"/>
    <s v="Consumer"/>
    <x v="7"/>
  </r>
  <r>
    <s v="ORD0096"/>
    <d v="2025-12-22T00:00:00"/>
    <s v="CUST012"/>
    <s v="PROD007"/>
    <s v="Bola"/>
    <n v="1"/>
    <n v="0"/>
    <s v="Paid"/>
    <n v="8"/>
    <n v="160"/>
    <n v="160"/>
    <n v="38.4"/>
    <n v="113.6"/>
    <s v="West"/>
    <s v="Microwave"/>
    <s v="Consumer"/>
    <x v="3"/>
  </r>
  <r>
    <s v="ORD0097"/>
    <d v="2025-08-09T00:00:00"/>
    <s v="CUST006"/>
    <s v="PROD006"/>
    <s v="Grace"/>
    <n v="1"/>
    <n v="0.05"/>
    <s v="Paid"/>
    <n v="10"/>
    <n v="210"/>
    <n v="199.5"/>
    <n v="52.5"/>
    <n v="137"/>
    <s v="North"/>
    <s v="Bookshelf"/>
    <s v="Corporate"/>
    <x v="11"/>
  </r>
  <r>
    <s v="ORD0098"/>
    <d v="2025-02-10T00:00:00"/>
    <s v="CUST068"/>
    <s v="PROD007"/>
    <s v="Kevin"/>
    <n v="5"/>
    <n v="0"/>
    <s v="Paid"/>
    <n v="15"/>
    <n v="160"/>
    <n v="800"/>
    <n v="38.4"/>
    <n v="593"/>
    <s v="North"/>
    <s v="Microwave"/>
    <s v="Consumer"/>
    <x v="4"/>
  </r>
  <r>
    <s v="ORD0099"/>
    <d v="2025-08-25T00:00:00"/>
    <s v="CUST080"/>
    <s v="PROD004"/>
    <s v="Bola"/>
    <n v="4"/>
    <n v="0.15"/>
    <s v="Paid"/>
    <n v="15"/>
    <n v="180"/>
    <n v="612"/>
    <n v="54"/>
    <n v="381"/>
    <s v="East"/>
    <s v="Office Chair"/>
    <s v="Consumer"/>
    <x v="11"/>
  </r>
  <r>
    <s v="ORD0100"/>
    <d v="2025-03-22T00:00:00"/>
    <s v="CUST033"/>
    <s v="PROD001"/>
    <s v="Daniel"/>
    <n v="4"/>
    <n v="0.05"/>
    <s v="Paid"/>
    <n v="15"/>
    <n v="850"/>
    <n v="3230"/>
    <n v="187"/>
    <n v="2467"/>
    <s v="North"/>
    <s v="Laptop"/>
    <s v="Corporate"/>
    <x v="6"/>
  </r>
  <r>
    <s v="ORD0101"/>
    <d v="2025-08-22T00:00:00"/>
    <s v="CUST045"/>
    <s v="PROD010"/>
    <s v="Bola"/>
    <n v="3"/>
    <n v="0.1"/>
    <s v="Paid"/>
    <n v="10"/>
    <n v="240"/>
    <n v="648"/>
    <n v="55.2"/>
    <n v="472.4"/>
    <s v="West"/>
    <s v="Vacuum Cleaner"/>
    <s v="Consumer"/>
    <x v="11"/>
  </r>
  <r>
    <s v="ORD0102"/>
    <d v="2025-07-03T00:00:00"/>
    <s v="CUST050"/>
    <s v="PROD008"/>
    <s v="Kevin"/>
    <n v="1"/>
    <n v="0"/>
    <s v="Paid"/>
    <n v="12"/>
    <n v="70"/>
    <n v="70"/>
    <n v="22.4"/>
    <n v="35.6"/>
    <s v="West"/>
    <s v="Blender"/>
    <s v="Consumer"/>
    <x v="8"/>
  </r>
  <r>
    <s v="ORD0103"/>
    <d v="2025-12-18T00:00:00"/>
    <s v="CUST038"/>
    <s v="PROD001"/>
    <s v="Daniel"/>
    <n v="4"/>
    <n v="0.05"/>
    <s v="Paid"/>
    <n v="18"/>
    <n v="850"/>
    <n v="3230"/>
    <n v="187"/>
    <n v="2464"/>
    <s v="South"/>
    <s v="Laptop"/>
    <s v="Consumer"/>
    <x v="3"/>
  </r>
  <r>
    <s v="ORD0104"/>
    <d v="2025-04-23T00:00:00"/>
    <s v="CUST064"/>
    <s v="PROD005"/>
    <s v="Grace"/>
    <n v="2"/>
    <n v="0.15"/>
    <s v="Pending"/>
    <n v="18"/>
    <n v="320"/>
    <n v="544"/>
    <n v="86.4"/>
    <n v="353.2"/>
    <s v="East"/>
    <s v="Desk"/>
    <s v="Consumer"/>
    <x v="9"/>
  </r>
  <r>
    <s v="ORD0105"/>
    <d v="2025-08-14T00:00:00"/>
    <s v="CUST033"/>
    <s v="PROD003"/>
    <s v="Daniel"/>
    <n v="1"/>
    <n v="0"/>
    <s v="Paid"/>
    <n v="18"/>
    <n v="90"/>
    <n v="90"/>
    <n v="25.2"/>
    <n v="46.8"/>
    <s v="North"/>
    <s v="Headphones"/>
    <s v="Corporate"/>
    <x v="11"/>
  </r>
  <r>
    <s v="ORD0106"/>
    <d v="2025-08-01T00:00:00"/>
    <s v="CUST047"/>
    <s v="PROD003"/>
    <s v="Grace"/>
    <n v="1"/>
    <n v="0.05"/>
    <s v="Paid"/>
    <n v="10"/>
    <n v="90"/>
    <n v="85.5"/>
    <n v="25.2"/>
    <n v="50.3"/>
    <s v="North"/>
    <s v="Headphones"/>
    <s v="Home Office"/>
    <x v="11"/>
  </r>
  <r>
    <s v="ORD0107"/>
    <d v="2025-05-20T00:00:00"/>
    <s v="CUST017"/>
    <s v="PROD009"/>
    <s v="Grace"/>
    <n v="3"/>
    <n v="0.15"/>
    <s v="Paid"/>
    <n v="12"/>
    <n v="130"/>
    <n v="331.5"/>
    <n v="33.799999999999997"/>
    <n v="218.10000000000002"/>
    <s v="East"/>
    <s v="Air Fryer"/>
    <s v="Corporate"/>
    <x v="7"/>
  </r>
  <r>
    <s v="ORD0108"/>
    <d v="2025-02-08T00:00:00"/>
    <s v="CUST062"/>
    <s v="PROD005"/>
    <s v="Grace"/>
    <n v="3"/>
    <n v="0"/>
    <s v="Paid"/>
    <n v="10"/>
    <n v="320"/>
    <n v="960"/>
    <n v="86.4"/>
    <n v="690.8"/>
    <s v="West"/>
    <s v="Desk"/>
    <s v="Consumer"/>
    <x v="4"/>
  </r>
  <r>
    <s v="ORD0109"/>
    <d v="2025-01-08T00:00:00"/>
    <s v="CUST051"/>
    <s v="PROD009"/>
    <s v="Bola"/>
    <n v="3"/>
    <n v="0"/>
    <s v="Pending"/>
    <n v="18"/>
    <n v="130"/>
    <n v="390"/>
    <n v="33.799999999999997"/>
    <n v="270.60000000000002"/>
    <s v="East"/>
    <s v="Air Fryer"/>
    <s v="Home Office"/>
    <x v="5"/>
  </r>
  <r>
    <s v="ORD0110"/>
    <d v="2025-11-23T00:00:00"/>
    <s v="CUST016"/>
    <s v="PROD008"/>
    <s v="Bola"/>
    <n v="3"/>
    <n v="0.05"/>
    <s v="Paid"/>
    <n v="8"/>
    <n v="70"/>
    <n v="199.5"/>
    <n v="22.4"/>
    <n v="124.30000000000001"/>
    <s v="West"/>
    <s v="Blender"/>
    <s v="Corporate"/>
    <x v="0"/>
  </r>
  <r>
    <s v="ORD0111"/>
    <d v="2025-10-15T00:00:00"/>
    <s v="CUST030"/>
    <s v="PROD008"/>
    <s v="Bola"/>
    <n v="1"/>
    <n v="0.15"/>
    <s v="Pending"/>
    <n v="18"/>
    <n v="70"/>
    <n v="59.5"/>
    <n v="22.4"/>
    <n v="19.100000000000001"/>
    <s v="North"/>
    <s v="Blender"/>
    <s v="Consumer"/>
    <x v="1"/>
  </r>
  <r>
    <s v="ORD0112"/>
    <d v="2025-03-01T00:00:00"/>
    <s v="CUST029"/>
    <s v="PROD002"/>
    <s v="Grace"/>
    <n v="4"/>
    <n v="0.05"/>
    <s v="Paid"/>
    <n v="8"/>
    <n v="600"/>
    <n v="2280"/>
    <n v="120"/>
    <n v="1792"/>
    <s v="North"/>
    <s v="Smartphone"/>
    <s v="Consumer"/>
    <x v="6"/>
  </r>
  <r>
    <s v="ORD0113"/>
    <d v="2025-10-03T00:00:00"/>
    <s v="CUST005"/>
    <s v="PROD005"/>
    <s v="Grace"/>
    <n v="4"/>
    <n v="0"/>
    <s v="Paid"/>
    <n v="15"/>
    <n v="320"/>
    <n v="1280"/>
    <n v="86.4"/>
    <n v="919.4"/>
    <s v="West"/>
    <s v="Desk"/>
    <s v="Consumer"/>
    <x v="1"/>
  </r>
  <r>
    <s v="ORD0114"/>
    <d v="2025-03-21T00:00:00"/>
    <s v="CUST059"/>
    <s v="PROD006"/>
    <s v="Maya"/>
    <n v="5"/>
    <n v="0.1"/>
    <s v="Paid"/>
    <n v="20"/>
    <n v="210"/>
    <n v="945"/>
    <n v="52.5"/>
    <n v="662.5"/>
    <s v="North"/>
    <s v="Bookshelf"/>
    <s v="Corporate"/>
    <x v="6"/>
  </r>
  <r>
    <s v="ORD0115"/>
    <d v="2025-05-24T00:00:00"/>
    <s v="CUST013"/>
    <s v="PROD008"/>
    <s v="Daniel"/>
    <n v="5"/>
    <n v="0.1"/>
    <s v="Pending"/>
    <n v="20"/>
    <n v="70"/>
    <n v="315"/>
    <n v="22.4"/>
    <n v="183"/>
    <s v="East"/>
    <s v="Blender"/>
    <s v="Home Office"/>
    <x v="7"/>
  </r>
  <r>
    <s v="ORD0116"/>
    <d v="2025-07-05T00:00:00"/>
    <s v="CUST048"/>
    <s v="PROD004"/>
    <s v="Daniel"/>
    <n v="4"/>
    <n v="0.1"/>
    <s v="Refunded"/>
    <n v="20"/>
    <n v="180"/>
    <n v="648"/>
    <n v="54"/>
    <n v="412"/>
    <s v="East"/>
    <s v="Office Chair"/>
    <s v="Home Office"/>
    <x v="8"/>
  </r>
  <r>
    <s v="ORD0117"/>
    <d v="2025-04-08T00:00:00"/>
    <s v="CUST048"/>
    <s v="PROD009"/>
    <s v="Daniel"/>
    <n v="3"/>
    <n v="0"/>
    <s v="Paid"/>
    <n v="15"/>
    <n v="130"/>
    <n v="390"/>
    <n v="33.799999999999997"/>
    <n v="273.60000000000002"/>
    <s v="East"/>
    <s v="Air Fryer"/>
    <s v="Home Office"/>
    <x v="9"/>
  </r>
  <r>
    <s v="ORD0118"/>
    <d v="2025-06-20T00:00:00"/>
    <s v="CUST012"/>
    <s v="PROD004"/>
    <s v="Grace"/>
    <n v="5"/>
    <n v="0"/>
    <s v="Paid"/>
    <n v="10"/>
    <n v="180"/>
    <n v="900"/>
    <n v="54"/>
    <n v="620"/>
    <s v="West"/>
    <s v="Office Chair"/>
    <s v="Consumer"/>
    <x v="2"/>
  </r>
  <r>
    <s v="ORD0119"/>
    <d v="2025-04-21T00:00:00"/>
    <s v="CUST073"/>
    <s v="PROD004"/>
    <s v="Grace"/>
    <n v="1"/>
    <n v="0.15"/>
    <s v="Paid"/>
    <n v="12"/>
    <n v="180"/>
    <n v="153"/>
    <n v="54"/>
    <n v="87"/>
    <s v="West"/>
    <s v="Office Chair"/>
    <s v="Corporate"/>
    <x v="9"/>
  </r>
  <r>
    <s v="ORD0120"/>
    <d v="2025-03-16T00:00:00"/>
    <s v="CUST019"/>
    <s v="PROD010"/>
    <s v="Grace"/>
    <n v="1"/>
    <n v="0.05"/>
    <s v="Pending"/>
    <n v="18"/>
    <n v="240"/>
    <n v="228"/>
    <n v="55.2"/>
    <n v="154.80000000000001"/>
    <s v="West"/>
    <s v="Vacuum Cleaner"/>
    <s v="Home Office"/>
    <x v="6"/>
  </r>
  <r>
    <s v="ORD0121"/>
    <d v="2025-07-03T00:00:00"/>
    <s v="CUST033"/>
    <s v="PROD003"/>
    <s v="Grace"/>
    <n v="1"/>
    <n v="0"/>
    <s v="Paid"/>
    <n v="18"/>
    <n v="90"/>
    <n v="90"/>
    <n v="25.2"/>
    <n v="46.8"/>
    <s v="North"/>
    <s v="Headphones"/>
    <s v="Corporate"/>
    <x v="8"/>
  </r>
  <r>
    <s v="ORD0122"/>
    <d v="2025-08-04T00:00:00"/>
    <s v="CUST042"/>
    <s v="PROD001"/>
    <s v="Kevin"/>
    <n v="2"/>
    <n v="0.05"/>
    <s v="Paid"/>
    <n v="8"/>
    <n v="850"/>
    <n v="1615"/>
    <n v="187"/>
    <n v="1233"/>
    <s v="West"/>
    <s v="Laptop"/>
    <s v="Corporate"/>
    <x v="11"/>
  </r>
  <r>
    <s v="ORD0123"/>
    <d v="2025-02-25T00:00:00"/>
    <s v="CUST009"/>
    <s v="PROD008"/>
    <s v="Maya"/>
    <n v="4"/>
    <n v="0.05"/>
    <s v="Paid"/>
    <n v="18"/>
    <n v="70"/>
    <n v="266"/>
    <n v="22.4"/>
    <n v="158.4"/>
    <s v="East"/>
    <s v="Blender"/>
    <s v="Consumer"/>
    <x v="4"/>
  </r>
  <r>
    <s v="ORD0124"/>
    <d v="2025-11-26T00:00:00"/>
    <s v="CUST029"/>
    <s v="PROD010"/>
    <s v="Daniel"/>
    <n v="1"/>
    <n v="0.15"/>
    <s v="Paid"/>
    <n v="8"/>
    <n v="240"/>
    <n v="204"/>
    <n v="55.2"/>
    <n v="140.80000000000001"/>
    <s v="North"/>
    <s v="Vacuum Cleaner"/>
    <s v="Consumer"/>
    <x v="0"/>
  </r>
  <r>
    <s v="ORD0125"/>
    <d v="2025-08-16T00:00:00"/>
    <s v="CUST062"/>
    <s v="PROD007"/>
    <s v="Daniel"/>
    <n v="4"/>
    <n v="0"/>
    <s v="Paid"/>
    <n v="8"/>
    <n v="160"/>
    <n v="640"/>
    <n v="38.4"/>
    <n v="478.4"/>
    <s v="West"/>
    <s v="Microwave"/>
    <s v="Consumer"/>
    <x v="11"/>
  </r>
  <r>
    <s v="ORD0126"/>
    <d v="2025-11-16T00:00:00"/>
    <s v="CUST042"/>
    <s v="PROD010"/>
    <s v="Kevin"/>
    <n v="2"/>
    <n v="0"/>
    <s v="Paid"/>
    <n v="18"/>
    <n v="240"/>
    <n v="480"/>
    <n v="55.2"/>
    <n v="351.6"/>
    <s v="West"/>
    <s v="Vacuum Cleaner"/>
    <s v="Corporate"/>
    <x v="0"/>
  </r>
  <r>
    <s v="ORD0127"/>
    <d v="2025-09-16T00:00:00"/>
    <s v="CUST042"/>
    <s v="PROD007"/>
    <s v="Kevin"/>
    <n v="5"/>
    <n v="0.15"/>
    <s v="Paid"/>
    <n v="15"/>
    <n v="160"/>
    <n v="680"/>
    <n v="38.4"/>
    <n v="473"/>
    <s v="West"/>
    <s v="Microwave"/>
    <s v="Corporate"/>
    <x v="10"/>
  </r>
  <r>
    <s v="ORD0128"/>
    <d v="2025-04-27T00:00:00"/>
    <s v="CUST013"/>
    <s v="PROD002"/>
    <s v="Maya"/>
    <n v="5"/>
    <n v="0"/>
    <s v="Paid"/>
    <n v="12"/>
    <n v="600"/>
    <n v="3000"/>
    <n v="120"/>
    <n v="2388"/>
    <s v="East"/>
    <s v="Smartphone"/>
    <s v="Home Office"/>
    <x v="9"/>
  </r>
  <r>
    <s v="ORD0129"/>
    <d v="2025-06-10T00:00:00"/>
    <s v="CUST059"/>
    <s v="PROD007"/>
    <s v="Bola"/>
    <n v="4"/>
    <n v="0"/>
    <s v="Paid"/>
    <n v="12"/>
    <n v="160"/>
    <n v="640"/>
    <n v="38.4"/>
    <n v="474.4"/>
    <s v="North"/>
    <s v="Microwave"/>
    <s v="Corporate"/>
    <x v="2"/>
  </r>
  <r>
    <s v="ORD0130"/>
    <d v="2025-02-17T00:00:00"/>
    <s v="CUST020"/>
    <s v="PROD008"/>
    <s v="Maya"/>
    <n v="1"/>
    <n v="0"/>
    <s v="Pending"/>
    <n v="8"/>
    <n v="70"/>
    <n v="70"/>
    <n v="22.4"/>
    <n v="39.6"/>
    <s v="South"/>
    <s v="Blender"/>
    <s v="Corporate"/>
    <x v="4"/>
  </r>
  <r>
    <s v="ORD0131"/>
    <d v="2025-10-15T00:00:00"/>
    <s v="CUST048"/>
    <s v="PROD003"/>
    <s v="Kevin"/>
    <n v="5"/>
    <n v="0"/>
    <s v="Paid"/>
    <n v="12"/>
    <n v="90"/>
    <n v="450"/>
    <n v="25.2"/>
    <n v="312"/>
    <s v="East"/>
    <s v="Headphones"/>
    <s v="Home Office"/>
    <x v="1"/>
  </r>
  <r>
    <s v="ORD0132"/>
    <d v="2025-01-27T00:00:00"/>
    <s v="CUST016"/>
    <s v="PROD007"/>
    <s v="Bola"/>
    <n v="3"/>
    <n v="0.1"/>
    <s v="Pending"/>
    <n v="18"/>
    <n v="160"/>
    <n v="432"/>
    <n v="38.4"/>
    <n v="298.8"/>
    <s v="West"/>
    <s v="Microwave"/>
    <s v="Corporate"/>
    <x v="5"/>
  </r>
  <r>
    <s v="ORD0133"/>
    <d v="2025-03-21T00:00:00"/>
    <s v="CUST040"/>
    <s v="PROD006"/>
    <s v="Maya"/>
    <n v="1"/>
    <n v="0.15"/>
    <s v="Paid"/>
    <n v="10"/>
    <n v="210"/>
    <n v="178.5"/>
    <n v="52.5"/>
    <n v="116"/>
    <s v="South"/>
    <s v="Bookshelf"/>
    <s v="Corporate"/>
    <x v="6"/>
  </r>
  <r>
    <s v="ORD0134"/>
    <d v="2025-05-23T00:00:00"/>
    <s v="CUST014"/>
    <s v="PROD006"/>
    <s v="Kevin"/>
    <n v="5"/>
    <n v="0.05"/>
    <s v="Paid"/>
    <n v="10"/>
    <n v="210"/>
    <n v="997.5"/>
    <n v="52.5"/>
    <n v="725"/>
    <s v="South"/>
    <s v="Bookshelf"/>
    <s v="Consumer"/>
    <x v="7"/>
  </r>
  <r>
    <s v="ORD0135"/>
    <d v="2025-10-13T00:00:00"/>
    <s v="CUST055"/>
    <s v="PROD009"/>
    <s v="Daniel"/>
    <n v="5"/>
    <n v="0.15"/>
    <s v="Paid"/>
    <n v="18"/>
    <n v="130"/>
    <n v="552.5"/>
    <n v="33.799999999999997"/>
    <n v="365.5"/>
    <s v="West"/>
    <s v="Air Fryer"/>
    <s v="Consumer"/>
    <x v="1"/>
  </r>
  <r>
    <s v="ORD0136"/>
    <d v="2025-06-08T00:00:00"/>
    <s v="CUST035"/>
    <s v="PROD001"/>
    <s v="Bola"/>
    <n v="2"/>
    <n v="0.05"/>
    <s v="Paid"/>
    <n v="12"/>
    <n v="850"/>
    <n v="1615"/>
    <n v="187"/>
    <n v="1229"/>
    <s v="West"/>
    <s v="Laptop"/>
    <s v="Home Office"/>
    <x v="2"/>
  </r>
  <r>
    <s v="ORD0137"/>
    <d v="2025-02-05T00:00:00"/>
    <s v="CUST001"/>
    <s v="PROD003"/>
    <s v="Grace"/>
    <n v="2"/>
    <n v="0.15"/>
    <s v="Paid"/>
    <n v="20"/>
    <n v="90"/>
    <n v="153"/>
    <n v="25.2"/>
    <n v="82.6"/>
    <s v="West"/>
    <s v="Headphones"/>
    <s v="Home Office"/>
    <x v="4"/>
  </r>
  <r>
    <s v="ORD0138"/>
    <d v="2025-08-21T00:00:00"/>
    <s v="CUST004"/>
    <s v="PROD002"/>
    <s v="Bola"/>
    <n v="5"/>
    <n v="0"/>
    <s v="Paid"/>
    <n v="10"/>
    <n v="600"/>
    <n v="3000"/>
    <n v="120"/>
    <n v="2390"/>
    <s v="West"/>
    <s v="Smartphone"/>
    <s v="Consumer"/>
    <x v="11"/>
  </r>
  <r>
    <s v="ORD0139"/>
    <d v="2025-01-27T00:00:00"/>
    <s v="CUST048"/>
    <s v="PROD005"/>
    <s v="Grace"/>
    <n v="3"/>
    <n v="0.15"/>
    <s v="Paid"/>
    <n v="10"/>
    <n v="320"/>
    <n v="816"/>
    <n v="86.4"/>
    <n v="546.79999999999995"/>
    <s v="East"/>
    <s v="Desk"/>
    <s v="Home Office"/>
    <x v="5"/>
  </r>
  <r>
    <s v="ORD0140"/>
    <d v="2025-08-06T00:00:00"/>
    <s v="CUST080"/>
    <s v="PROD001"/>
    <s v="Maya"/>
    <n v="1"/>
    <n v="0.05"/>
    <s v="Paid"/>
    <n v="18"/>
    <n v="850"/>
    <n v="807.5"/>
    <n v="187"/>
    <n v="602.5"/>
    <s v="East"/>
    <s v="Laptop"/>
    <s v="Consumer"/>
    <x v="11"/>
  </r>
  <r>
    <s v="ORD0141"/>
    <d v="2025-02-28T00:00:00"/>
    <s v="CUST057"/>
    <s v="PROD007"/>
    <s v="Bola"/>
    <n v="3"/>
    <n v="0"/>
    <s v="Paid"/>
    <n v="15"/>
    <n v="160"/>
    <n v="480"/>
    <n v="38.4"/>
    <n v="349.8"/>
    <s v="North"/>
    <s v="Microwave"/>
    <s v="Corporate"/>
    <x v="4"/>
  </r>
  <r>
    <s v="ORD0142"/>
    <d v="2025-06-07T00:00:00"/>
    <s v="CUST015"/>
    <s v="PROD005"/>
    <s v="Daniel"/>
    <n v="5"/>
    <n v="0.1"/>
    <s v="Paid"/>
    <n v="10"/>
    <n v="320"/>
    <n v="1440"/>
    <n v="86.4"/>
    <n v="998"/>
    <s v="South"/>
    <s v="Desk"/>
    <s v="Consumer"/>
    <x v="2"/>
  </r>
  <r>
    <s v="ORD0143"/>
    <d v="2025-04-19T00:00:00"/>
    <s v="CUST051"/>
    <s v="PROD010"/>
    <s v="Grace"/>
    <n v="1"/>
    <n v="0"/>
    <s v="Paid"/>
    <n v="12"/>
    <n v="240"/>
    <n v="240"/>
    <n v="55.2"/>
    <n v="172.8"/>
    <s v="East"/>
    <s v="Vacuum Cleaner"/>
    <s v="Home Office"/>
    <x v="9"/>
  </r>
  <r>
    <s v="ORD0144"/>
    <d v="2025-08-09T00:00:00"/>
    <s v="CUST038"/>
    <s v="PROD006"/>
    <s v="Grace"/>
    <n v="1"/>
    <n v="0"/>
    <s v="Paid"/>
    <n v="10"/>
    <n v="210"/>
    <n v="210"/>
    <n v="52.5"/>
    <n v="147.5"/>
    <s v="South"/>
    <s v="Bookshelf"/>
    <s v="Consumer"/>
    <x v="11"/>
  </r>
  <r>
    <s v="ORD0145"/>
    <d v="2025-12-09T00:00:00"/>
    <s v="CUST049"/>
    <s v="PROD009"/>
    <s v="Bola"/>
    <n v="2"/>
    <n v="0.15"/>
    <s v="Paid"/>
    <n v="8"/>
    <n v="130"/>
    <n v="221"/>
    <n v="33.799999999999997"/>
    <n v="145.4"/>
    <s v="East"/>
    <s v="Air Fryer"/>
    <s v="Home Office"/>
    <x v="3"/>
  </r>
  <r>
    <s v="ORD0146"/>
    <d v="2025-02-09T00:00:00"/>
    <s v="CUST051"/>
    <s v="PROD001"/>
    <s v="Bola"/>
    <n v="4"/>
    <n v="0"/>
    <s v="Paid"/>
    <n v="18"/>
    <n v="850"/>
    <n v="3400"/>
    <n v="187"/>
    <n v="2634"/>
    <s v="East"/>
    <s v="Laptop"/>
    <s v="Home Office"/>
    <x v="4"/>
  </r>
  <r>
    <s v="ORD0147"/>
    <d v="2025-07-27T00:00:00"/>
    <s v="CUST055"/>
    <s v="PROD010"/>
    <s v="Daniel"/>
    <n v="4"/>
    <n v="0.1"/>
    <s v="Paid"/>
    <n v="12"/>
    <n v="240"/>
    <n v="864"/>
    <n v="55.2"/>
    <n v="631.20000000000005"/>
    <s v="West"/>
    <s v="Vacuum Cleaner"/>
    <s v="Consumer"/>
    <x v="8"/>
  </r>
  <r>
    <s v="ORD0148"/>
    <d v="2025-02-24T00:00:00"/>
    <s v="CUST022"/>
    <s v="PROD010"/>
    <s v="Grace"/>
    <n v="4"/>
    <n v="0.05"/>
    <s v="Paid"/>
    <n v="15"/>
    <n v="240"/>
    <n v="912"/>
    <n v="55.2"/>
    <n v="676.2"/>
    <s v="South"/>
    <s v="Vacuum Cleaner"/>
    <s v="Corporate"/>
    <x v="4"/>
  </r>
  <r>
    <s v="ORD0149"/>
    <d v="2025-06-08T00:00:00"/>
    <s v="CUST076"/>
    <s v="PROD007"/>
    <s v="Bola"/>
    <n v="5"/>
    <n v="0"/>
    <s v="Paid"/>
    <n v="10"/>
    <n v="160"/>
    <n v="800"/>
    <n v="38.4"/>
    <n v="598"/>
    <s v="South"/>
    <s v="Microwave"/>
    <s v="Home Office"/>
    <x v="2"/>
  </r>
  <r>
    <s v="ORD0150"/>
    <d v="2025-09-29T00:00:00"/>
    <s v="CUST043"/>
    <s v="PROD003"/>
    <s v="Kevin"/>
    <n v="1"/>
    <n v="0.15"/>
    <s v="Paid"/>
    <n v="10"/>
    <n v="90"/>
    <n v="76.5"/>
    <n v="25.2"/>
    <n v="41.3"/>
    <s v="South"/>
    <s v="Headphones"/>
    <s v="Consumer"/>
    <x v="10"/>
  </r>
  <r>
    <s v="ORD0151"/>
    <d v="2025-05-12T00:00:00"/>
    <s v="CUST045"/>
    <s v="PROD006"/>
    <s v="Grace"/>
    <n v="2"/>
    <n v="0"/>
    <s v="Paid"/>
    <n v="10"/>
    <n v="210"/>
    <n v="420"/>
    <n v="52.5"/>
    <n v="305"/>
    <s v="West"/>
    <s v="Bookshelf"/>
    <s v="Consumer"/>
    <x v="7"/>
  </r>
  <r>
    <s v="ORD0152"/>
    <d v="2025-11-18T00:00:00"/>
    <s v="CUST078"/>
    <s v="PROD003"/>
    <s v="Maya"/>
    <n v="1"/>
    <n v="0"/>
    <s v="Refunded"/>
    <n v="15"/>
    <n v="90"/>
    <n v="90"/>
    <n v="25.2"/>
    <n v="49.8"/>
    <s v="South"/>
    <s v="Headphones"/>
    <s v="Home Office"/>
    <x v="0"/>
  </r>
  <r>
    <s v="ORD0153"/>
    <d v="2025-11-16T00:00:00"/>
    <s v="CUST073"/>
    <s v="PROD010"/>
    <s v="Bola"/>
    <n v="4"/>
    <n v="0.15"/>
    <s v="Paid"/>
    <n v="20"/>
    <n v="240"/>
    <n v="816"/>
    <n v="55.2"/>
    <n v="575.20000000000005"/>
    <s v="West"/>
    <s v="Vacuum Cleaner"/>
    <s v="Corporate"/>
    <x v="0"/>
  </r>
  <r>
    <s v="ORD0154"/>
    <d v="2025-11-20T00:00:00"/>
    <s v="CUST041"/>
    <s v="PROD003"/>
    <s v="Bola"/>
    <n v="4"/>
    <n v="0"/>
    <s v="Paid"/>
    <n v="12"/>
    <n v="90"/>
    <n v="360"/>
    <n v="25.2"/>
    <n v="247.2"/>
    <s v="West"/>
    <s v="Headphones"/>
    <s v="Corporate"/>
    <x v="0"/>
  </r>
  <r>
    <s v="ORD0155"/>
    <d v="2025-08-25T00:00:00"/>
    <s v="CUST076"/>
    <s v="PROD001"/>
    <s v="Maya"/>
    <n v="3"/>
    <n v="0.15"/>
    <s v="Paid"/>
    <n v="8"/>
    <n v="850"/>
    <n v="2167.5"/>
    <n v="187"/>
    <n v="1598.5"/>
    <s v="South"/>
    <s v="Laptop"/>
    <s v="Home Office"/>
    <x v="11"/>
  </r>
  <r>
    <s v="ORD0156"/>
    <d v="2025-02-16T00:00:00"/>
    <s v="CUST008"/>
    <s v="PROD006"/>
    <s v="Kevin"/>
    <n v="3"/>
    <n v="0"/>
    <s v="Paid"/>
    <n v="18"/>
    <n v="210"/>
    <n v="630"/>
    <n v="52.5"/>
    <n v="454.5"/>
    <s v="East"/>
    <s v="Bookshelf"/>
    <s v="Consumer"/>
    <x v="4"/>
  </r>
  <r>
    <s v="ORD0157"/>
    <d v="2025-01-22T00:00:00"/>
    <s v="CUST065"/>
    <s v="PROD007"/>
    <s v="Maya"/>
    <n v="4"/>
    <n v="0.15"/>
    <s v="Paid"/>
    <n v="18"/>
    <n v="160"/>
    <n v="544"/>
    <n v="38.4"/>
    <n v="372.4"/>
    <s v="North"/>
    <s v="Microwave"/>
    <s v="Consumer"/>
    <x v="5"/>
  </r>
  <r>
    <s v="ORD0158"/>
    <d v="2025-02-01T00:00:00"/>
    <s v="CUST025"/>
    <s v="PROD006"/>
    <s v="Maya"/>
    <n v="5"/>
    <n v="0.1"/>
    <s v="Paid"/>
    <n v="8"/>
    <n v="210"/>
    <n v="945"/>
    <n v="52.5"/>
    <n v="674.5"/>
    <s v="East"/>
    <s v="Bookshelf"/>
    <s v="Home Office"/>
    <x v="4"/>
  </r>
  <r>
    <s v="ORD0159"/>
    <d v="2025-12-29T00:00:00"/>
    <s v="CUST044"/>
    <s v="PROD002"/>
    <s v="Maya"/>
    <n v="5"/>
    <n v="0"/>
    <s v="Paid"/>
    <n v="15"/>
    <n v="600"/>
    <n v="3000"/>
    <n v="120"/>
    <n v="2385"/>
    <s v="West"/>
    <s v="Smartphone"/>
    <s v="Home Office"/>
    <x v="3"/>
  </r>
  <r>
    <s v="ORD0160"/>
    <d v="2025-05-25T00:00:00"/>
    <s v="CUST068"/>
    <s v="PROD009"/>
    <s v="Maya"/>
    <n v="5"/>
    <n v="0"/>
    <s v="Paid"/>
    <n v="15"/>
    <n v="130"/>
    <n v="650"/>
    <n v="33.799999999999997"/>
    <n v="466"/>
    <s v="North"/>
    <s v="Air Fryer"/>
    <s v="Consumer"/>
    <x v="7"/>
  </r>
  <r>
    <s v="ORD0161"/>
    <d v="2025-02-18T00:00:00"/>
    <s v="CUST044"/>
    <s v="PROD010"/>
    <s v="Kevin"/>
    <n v="1"/>
    <n v="0.05"/>
    <s v="Paid"/>
    <n v="20"/>
    <n v="240"/>
    <n v="228"/>
    <n v="55.2"/>
    <n v="152.80000000000001"/>
    <s v="West"/>
    <s v="Vacuum Cleaner"/>
    <s v="Home Office"/>
    <x v="4"/>
  </r>
  <r>
    <s v="ORD0162"/>
    <d v="2025-06-20T00:00:00"/>
    <s v="CUST050"/>
    <s v="PROD005"/>
    <s v="Daniel"/>
    <n v="3"/>
    <n v="0.15"/>
    <s v="Pending"/>
    <n v="18"/>
    <n v="320"/>
    <n v="816"/>
    <n v="86.4"/>
    <n v="538.79999999999995"/>
    <s v="West"/>
    <s v="Desk"/>
    <s v="Consumer"/>
    <x v="2"/>
  </r>
  <r>
    <s v="ORD0163"/>
    <d v="2025-12-29T00:00:00"/>
    <s v="CUST019"/>
    <s v="PROD006"/>
    <s v="Daniel"/>
    <n v="3"/>
    <n v="0.1"/>
    <s v="Paid"/>
    <n v="12"/>
    <n v="210"/>
    <n v="567"/>
    <n v="52.5"/>
    <n v="397.5"/>
    <s v="West"/>
    <s v="Bookshelf"/>
    <s v="Home Office"/>
    <x v="3"/>
  </r>
  <r>
    <s v="ORD0164"/>
    <d v="2025-12-17T00:00:00"/>
    <s v="CUST072"/>
    <s v="PROD007"/>
    <s v="Kevin"/>
    <n v="3"/>
    <n v="0"/>
    <s v="Paid"/>
    <n v="8"/>
    <n v="160"/>
    <n v="480"/>
    <n v="38.4"/>
    <n v="356.8"/>
    <s v="South"/>
    <s v="Microwave"/>
    <s v="Home Office"/>
    <x v="3"/>
  </r>
  <r>
    <s v="ORD0165"/>
    <d v="2025-04-03T00:00:00"/>
    <s v="CUST055"/>
    <s v="PROD009"/>
    <s v="Grace"/>
    <n v="3"/>
    <n v="0"/>
    <s v="Paid"/>
    <n v="12"/>
    <n v="130"/>
    <n v="390"/>
    <n v="33.799999999999997"/>
    <n v="276.60000000000002"/>
    <s v="West"/>
    <s v="Air Fryer"/>
    <s v="Consumer"/>
    <x v="9"/>
  </r>
  <r>
    <s v="ORD0166"/>
    <d v="2025-06-01T00:00:00"/>
    <s v="CUST063"/>
    <s v="PROD004"/>
    <s v="Daniel"/>
    <n v="2"/>
    <n v="0"/>
    <s v="Paid"/>
    <n v="18"/>
    <n v="180"/>
    <n v="360"/>
    <n v="54"/>
    <n v="234"/>
    <s v="North"/>
    <s v="Office Chair"/>
    <s v="Corporate"/>
    <x v="2"/>
  </r>
  <r>
    <s v="ORD0167"/>
    <d v="2025-11-13T00:00:00"/>
    <s v="CUST070"/>
    <s v="PROD009"/>
    <s v="Grace"/>
    <n v="1"/>
    <n v="0.05"/>
    <s v="Pending"/>
    <n v="18"/>
    <n v="130"/>
    <n v="123.5"/>
    <n v="33.799999999999997"/>
    <n v="71.7"/>
    <s v="East"/>
    <s v="Air Fryer"/>
    <s v="Home Office"/>
    <x v="0"/>
  </r>
  <r>
    <s v="ORD0168"/>
    <d v="2025-11-16T00:00:00"/>
    <s v="CUST049"/>
    <s v="PROD003"/>
    <s v="Grace"/>
    <n v="2"/>
    <n v="0"/>
    <s v="Pending"/>
    <n v="20"/>
    <n v="90"/>
    <n v="180"/>
    <n v="25.2"/>
    <n v="109.6"/>
    <s v="East"/>
    <s v="Headphones"/>
    <s v="Home Office"/>
    <x v="0"/>
  </r>
  <r>
    <s v="ORD0169"/>
    <d v="2025-05-02T00:00:00"/>
    <s v="CUST057"/>
    <s v="PROD001"/>
    <s v="Maya"/>
    <n v="4"/>
    <n v="0.05"/>
    <s v="Paid"/>
    <n v="18"/>
    <n v="850"/>
    <n v="3230"/>
    <n v="187"/>
    <n v="2464"/>
    <s v="North"/>
    <s v="Laptop"/>
    <s v="Corporate"/>
    <x v="7"/>
  </r>
  <r>
    <s v="ORD0170"/>
    <d v="2025-08-29T00:00:00"/>
    <s v="CUST037"/>
    <s v="PROD008"/>
    <s v="Grace"/>
    <n v="2"/>
    <n v="0.15"/>
    <s v="Paid"/>
    <n v="12"/>
    <n v="70"/>
    <n v="119"/>
    <n v="22.4"/>
    <n v="62.2"/>
    <s v="South"/>
    <s v="Blender"/>
    <s v="Consumer"/>
    <x v="11"/>
  </r>
  <r>
    <s v="ORD0171"/>
    <d v="2025-09-15T00:00:00"/>
    <s v="CUST074"/>
    <s v="PROD008"/>
    <s v="Kevin"/>
    <n v="4"/>
    <n v="0.05"/>
    <s v="Paid"/>
    <n v="15"/>
    <n v="70"/>
    <n v="266"/>
    <n v="22.4"/>
    <n v="161.4"/>
    <s v="West"/>
    <s v="Blender"/>
    <s v="Corporate"/>
    <x v="10"/>
  </r>
  <r>
    <s v="ORD0172"/>
    <d v="2025-01-27T00:00:00"/>
    <s v="CUST021"/>
    <s v="PROD004"/>
    <s v="Maya"/>
    <n v="5"/>
    <n v="0"/>
    <s v="Pending"/>
    <n v="12"/>
    <n v="180"/>
    <n v="900"/>
    <n v="54"/>
    <n v="618"/>
    <s v="East"/>
    <s v="Office Chair"/>
    <s v="Home Office"/>
    <x v="5"/>
  </r>
  <r>
    <s v="ORD0173"/>
    <d v="2025-03-24T00:00:00"/>
    <s v="CUST071"/>
    <s v="PROD002"/>
    <s v="Bola"/>
    <n v="5"/>
    <n v="0"/>
    <s v="Paid"/>
    <n v="15"/>
    <n v="600"/>
    <n v="3000"/>
    <n v="120"/>
    <n v="2385"/>
    <s v="North"/>
    <s v="Smartphone"/>
    <s v="Consumer"/>
    <x v="6"/>
  </r>
  <r>
    <s v="ORD0174"/>
    <d v="2025-04-24T00:00:00"/>
    <s v="CUST066"/>
    <s v="PROD003"/>
    <s v="Maya"/>
    <n v="4"/>
    <n v="0"/>
    <s v="Refunded"/>
    <n v="12"/>
    <n v="90"/>
    <n v="360"/>
    <n v="25.2"/>
    <n v="247.2"/>
    <s v="West"/>
    <s v="Headphones"/>
    <s v="Consumer"/>
    <x v="9"/>
  </r>
  <r>
    <s v="ORD0175"/>
    <d v="2025-05-01T00:00:00"/>
    <s v="CUST004"/>
    <s v="PROD007"/>
    <s v="Maya"/>
    <n v="1"/>
    <n v="0.1"/>
    <s v="Paid"/>
    <n v="8"/>
    <n v="160"/>
    <n v="144"/>
    <n v="38.4"/>
    <n v="97.6"/>
    <s v="West"/>
    <s v="Microwave"/>
    <s v="Consumer"/>
    <x v="7"/>
  </r>
  <r>
    <s v="ORD0176"/>
    <d v="2025-11-29T00:00:00"/>
    <s v="CUST048"/>
    <s v="PROD004"/>
    <s v="Bola"/>
    <n v="1"/>
    <n v="0.05"/>
    <s v="Pending"/>
    <n v="10"/>
    <n v="180"/>
    <n v="171"/>
    <n v="54"/>
    <n v="107"/>
    <s v="East"/>
    <s v="Office Chair"/>
    <s v="Home Office"/>
    <x v="0"/>
  </r>
  <r>
    <s v="ORD0177"/>
    <d v="2025-03-13T00:00:00"/>
    <s v="CUST018"/>
    <s v="PROD001"/>
    <s v="Maya"/>
    <n v="3"/>
    <n v="0.1"/>
    <s v="Paid"/>
    <n v="15"/>
    <n v="850"/>
    <n v="2295"/>
    <n v="187"/>
    <n v="1719"/>
    <s v="South"/>
    <s v="Laptop"/>
    <s v="Corporate"/>
    <x v="6"/>
  </r>
  <r>
    <s v="ORD0178"/>
    <d v="2025-03-18T00:00:00"/>
    <s v="CUST079"/>
    <s v="PROD001"/>
    <s v="Kevin"/>
    <n v="1"/>
    <n v="0"/>
    <s v="Paid"/>
    <n v="20"/>
    <n v="850"/>
    <n v="850"/>
    <n v="187"/>
    <n v="643"/>
    <s v="West"/>
    <s v="Laptop"/>
    <s v="Home Office"/>
    <x v="6"/>
  </r>
  <r>
    <s v="ORD0179"/>
    <d v="2025-05-02T00:00:00"/>
    <s v="CUST078"/>
    <s v="PROD009"/>
    <s v="Bola"/>
    <n v="4"/>
    <n v="0"/>
    <s v="Paid"/>
    <n v="8"/>
    <n v="130"/>
    <n v="520"/>
    <n v="33.799999999999997"/>
    <n v="376.8"/>
    <s v="South"/>
    <s v="Air Fryer"/>
    <s v="Home Office"/>
    <x v="7"/>
  </r>
  <r>
    <s v="ORD0180"/>
    <d v="2025-02-26T00:00:00"/>
    <s v="CUST007"/>
    <s v="PROD004"/>
    <s v="Maya"/>
    <n v="4"/>
    <n v="0.15"/>
    <s v="Paid"/>
    <n v="18"/>
    <n v="180"/>
    <n v="612"/>
    <n v="54"/>
    <n v="378"/>
    <s v="East"/>
    <s v="Office Chair"/>
    <s v="Consumer"/>
    <x v="4"/>
  </r>
  <r>
    <s v="ORD0181"/>
    <d v="2025-03-15T00:00:00"/>
    <s v="CUST069"/>
    <s v="PROD001"/>
    <s v="Bola"/>
    <n v="5"/>
    <n v="0.15"/>
    <s v="Paid"/>
    <n v="15"/>
    <n v="850"/>
    <n v="3612.5"/>
    <n v="187"/>
    <n v="2662.5"/>
    <s v="West"/>
    <s v="Laptop"/>
    <s v="Corporate"/>
    <x v="6"/>
  </r>
  <r>
    <s v="ORD0182"/>
    <d v="2025-04-06T00:00:00"/>
    <s v="CUST001"/>
    <s v="PROD010"/>
    <s v="Daniel"/>
    <n v="3"/>
    <n v="0"/>
    <s v="Paid"/>
    <n v="18"/>
    <n v="240"/>
    <n v="720"/>
    <n v="55.2"/>
    <n v="536.4"/>
    <s v="West"/>
    <s v="Vacuum Cleaner"/>
    <s v="Home Office"/>
    <x v="9"/>
  </r>
  <r>
    <s v="ORD0183"/>
    <d v="2025-09-17T00:00:00"/>
    <s v="CUST047"/>
    <s v="PROD002"/>
    <s v="Kevin"/>
    <n v="5"/>
    <n v="0.15"/>
    <s v="Paid"/>
    <n v="8"/>
    <n v="600"/>
    <n v="2550"/>
    <n v="120"/>
    <n v="1942"/>
    <s v="North"/>
    <s v="Smartphone"/>
    <s v="Home Office"/>
    <x v="10"/>
  </r>
  <r>
    <s v="ORD0184"/>
    <d v="2025-05-10T00:00:00"/>
    <s v="CUST050"/>
    <s v="PROD008"/>
    <s v="Daniel"/>
    <n v="1"/>
    <n v="0.1"/>
    <s v="Refunded"/>
    <n v="12"/>
    <n v="70"/>
    <n v="63"/>
    <n v="22.4"/>
    <n v="28.6"/>
    <s v="West"/>
    <s v="Blender"/>
    <s v="Consumer"/>
    <x v="7"/>
  </r>
  <r>
    <s v="ORD0185"/>
    <d v="2025-06-20T00:00:00"/>
    <s v="CUST009"/>
    <s v="PROD006"/>
    <s v="Grace"/>
    <n v="2"/>
    <n v="0"/>
    <s v="Paid"/>
    <n v="8"/>
    <n v="210"/>
    <n v="420"/>
    <n v="52.5"/>
    <n v="307"/>
    <s v="East"/>
    <s v="Bookshelf"/>
    <s v="Consumer"/>
    <x v="2"/>
  </r>
  <r>
    <s v="ORD0186"/>
    <d v="2025-12-17T00:00:00"/>
    <s v="CUST046"/>
    <s v="PROD009"/>
    <s v="Maya"/>
    <n v="3"/>
    <n v="0"/>
    <s v="Pending"/>
    <n v="20"/>
    <n v="130"/>
    <n v="390"/>
    <n v="33.799999999999997"/>
    <n v="268.60000000000002"/>
    <s v="North"/>
    <s v="Air Fryer"/>
    <s v="Consumer"/>
    <x v="3"/>
  </r>
  <r>
    <s v="ORD0187"/>
    <d v="2025-08-23T00:00:00"/>
    <s v="CUST062"/>
    <s v="PROD003"/>
    <s v="Daniel"/>
    <n v="2"/>
    <n v="0"/>
    <s v="Paid"/>
    <n v="12"/>
    <n v="90"/>
    <n v="180"/>
    <n v="25.2"/>
    <n v="117.6"/>
    <s v="West"/>
    <s v="Headphones"/>
    <s v="Consumer"/>
    <x v="11"/>
  </r>
  <r>
    <s v="ORD0188"/>
    <d v="2025-06-08T00:00:00"/>
    <s v="CUST026"/>
    <s v="PROD001"/>
    <s v="Kevin"/>
    <n v="2"/>
    <n v="0"/>
    <s v="Paid"/>
    <n v="15"/>
    <n v="850"/>
    <n v="1700"/>
    <n v="187"/>
    <n v="1311"/>
    <s v="North"/>
    <s v="Laptop"/>
    <s v="Corporate"/>
    <x v="2"/>
  </r>
  <r>
    <s v="ORD0189"/>
    <d v="2025-04-08T00:00:00"/>
    <s v="CUST070"/>
    <s v="PROD008"/>
    <s v="Bola"/>
    <n v="3"/>
    <n v="0"/>
    <s v="Paid"/>
    <n v="12"/>
    <n v="70"/>
    <n v="210"/>
    <n v="22.4"/>
    <n v="130.80000000000001"/>
    <s v="East"/>
    <s v="Blender"/>
    <s v="Home Office"/>
    <x v="9"/>
  </r>
  <r>
    <s v="ORD0190"/>
    <d v="2025-08-12T00:00:00"/>
    <s v="CUST007"/>
    <s v="PROD006"/>
    <s v="Maya"/>
    <n v="3"/>
    <n v="0"/>
    <s v="Pending"/>
    <n v="20"/>
    <n v="210"/>
    <n v="630"/>
    <n v="52.5"/>
    <n v="452.5"/>
    <s v="East"/>
    <s v="Bookshelf"/>
    <s v="Consumer"/>
    <x v="11"/>
  </r>
  <r>
    <s v="ORD0191"/>
    <d v="2025-09-12T00:00:00"/>
    <s v="CUST057"/>
    <s v="PROD007"/>
    <s v="Bola"/>
    <n v="3"/>
    <n v="0"/>
    <s v="Paid"/>
    <n v="18"/>
    <n v="160"/>
    <n v="480"/>
    <n v="38.4"/>
    <n v="346.8"/>
    <s v="North"/>
    <s v="Microwave"/>
    <s v="Corporate"/>
    <x v="10"/>
  </r>
  <r>
    <s v="ORD0192"/>
    <d v="2025-04-03T00:00:00"/>
    <s v="CUST035"/>
    <s v="PROD002"/>
    <s v="Kevin"/>
    <n v="4"/>
    <n v="0"/>
    <s v="Paid"/>
    <n v="12"/>
    <n v="600"/>
    <n v="2400"/>
    <n v="120"/>
    <n v="1908"/>
    <s v="West"/>
    <s v="Smartphone"/>
    <s v="Home Office"/>
    <x v="9"/>
  </r>
  <r>
    <s v="ORD0193"/>
    <d v="2025-06-06T00:00:00"/>
    <s v="CUST042"/>
    <s v="PROD002"/>
    <s v="Maya"/>
    <n v="1"/>
    <n v="0.05"/>
    <s v="Paid"/>
    <n v="18"/>
    <n v="600"/>
    <n v="570"/>
    <n v="120"/>
    <n v="432"/>
    <s v="West"/>
    <s v="Smartphone"/>
    <s v="Corporate"/>
    <x v="2"/>
  </r>
  <r>
    <s v="ORD0194"/>
    <d v="2025-06-30T00:00:00"/>
    <s v="CUST055"/>
    <s v="PROD003"/>
    <s v="Kevin"/>
    <n v="4"/>
    <n v="0.05"/>
    <s v="Paid"/>
    <n v="15"/>
    <n v="90"/>
    <n v="342"/>
    <n v="25.2"/>
    <n v="226.2"/>
    <s v="West"/>
    <s v="Headphones"/>
    <s v="Consumer"/>
    <x v="2"/>
  </r>
  <r>
    <s v="ORD0195"/>
    <d v="2025-12-14T00:00:00"/>
    <s v="CUST036"/>
    <s v="PROD001"/>
    <s v="Grace"/>
    <n v="1"/>
    <n v="0.1"/>
    <s v="Paid"/>
    <n v="8"/>
    <n v="850"/>
    <n v="765"/>
    <n v="187"/>
    <n v="570"/>
    <s v="East"/>
    <s v="Laptop"/>
    <s v="Corporate"/>
    <x v="3"/>
  </r>
  <r>
    <s v="ORD0196"/>
    <d v="2025-05-01T00:00:00"/>
    <s v="CUST019"/>
    <s v="PROD010"/>
    <s v="Bola"/>
    <n v="4"/>
    <n v="0"/>
    <s v="Paid"/>
    <n v="12"/>
    <n v="240"/>
    <n v="960"/>
    <n v="55.2"/>
    <n v="727.2"/>
    <s v="West"/>
    <s v="Vacuum Cleaner"/>
    <s v="Home Office"/>
    <x v="7"/>
  </r>
  <r>
    <s v="ORD0197"/>
    <d v="2025-08-19T00:00:00"/>
    <s v="CUST050"/>
    <s v="PROD010"/>
    <s v="Bola"/>
    <n v="1"/>
    <n v="0.15"/>
    <s v="Paid"/>
    <n v="12"/>
    <n v="240"/>
    <n v="204"/>
    <n v="55.2"/>
    <n v="136.80000000000001"/>
    <s v="West"/>
    <s v="Vacuum Cleaner"/>
    <s v="Consumer"/>
    <x v="11"/>
  </r>
  <r>
    <s v="ORD0198"/>
    <d v="2025-07-23T00:00:00"/>
    <s v="CUST057"/>
    <s v="PROD002"/>
    <s v="Bola"/>
    <n v="5"/>
    <n v="0"/>
    <s v="Paid"/>
    <n v="20"/>
    <n v="600"/>
    <n v="3000"/>
    <n v="120"/>
    <n v="2380"/>
    <s v="North"/>
    <s v="Smartphone"/>
    <s v="Corporate"/>
    <x v="8"/>
  </r>
  <r>
    <s v="ORD0199"/>
    <d v="2025-09-13T00:00:00"/>
    <s v="CUST036"/>
    <s v="PROD004"/>
    <s v="Kevin"/>
    <n v="1"/>
    <n v="0"/>
    <s v="Paid"/>
    <n v="15"/>
    <n v="180"/>
    <n v="180"/>
    <n v="54"/>
    <n v="111"/>
    <s v="East"/>
    <s v="Office Chair"/>
    <s v="Corporate"/>
    <x v="10"/>
  </r>
  <r>
    <s v="ORD0200"/>
    <d v="2025-04-20T00:00:00"/>
    <s v="CUST072"/>
    <s v="PROD002"/>
    <s v="Kevin"/>
    <n v="3"/>
    <n v="0.05"/>
    <s v="Paid"/>
    <n v="12"/>
    <n v="600"/>
    <n v="1710"/>
    <n v="120"/>
    <n v="1338"/>
    <s v="South"/>
    <s v="Smartphone"/>
    <s v="Home Office"/>
    <x v="9"/>
  </r>
  <r>
    <s v="ORD0201"/>
    <d v="2025-08-20T00:00:00"/>
    <s v="CUST063"/>
    <s v="PROD004"/>
    <s v="Grace"/>
    <n v="1"/>
    <n v="0"/>
    <s v="Pending"/>
    <n v="20"/>
    <n v="180"/>
    <n v="180"/>
    <n v="54"/>
    <n v="106"/>
    <s v="North"/>
    <s v="Office Chair"/>
    <s v="Corporate"/>
    <x v="11"/>
  </r>
  <r>
    <s v="ORD0202"/>
    <d v="2025-10-09T00:00:00"/>
    <s v="CUST057"/>
    <s v="PROD002"/>
    <s v="Kevin"/>
    <n v="3"/>
    <n v="0.05"/>
    <s v="Paid"/>
    <n v="12"/>
    <n v="600"/>
    <n v="1710"/>
    <n v="120"/>
    <n v="1338"/>
    <s v="North"/>
    <s v="Smartphone"/>
    <s v="Corporate"/>
    <x v="1"/>
  </r>
  <r>
    <s v="ORD0203"/>
    <d v="2025-03-04T00:00:00"/>
    <s v="CUST039"/>
    <s v="PROD003"/>
    <s v="Grace"/>
    <n v="2"/>
    <n v="0.05"/>
    <s v="Paid"/>
    <n v="10"/>
    <n v="90"/>
    <n v="171"/>
    <n v="25.2"/>
    <n v="110.6"/>
    <s v="East"/>
    <s v="Headphones"/>
    <s v="Home Office"/>
    <x v="6"/>
  </r>
  <r>
    <s v="ORD0204"/>
    <d v="2025-07-08T00:00:00"/>
    <s v="CUST031"/>
    <s v="PROD008"/>
    <s v="Maya"/>
    <n v="1"/>
    <n v="0.05"/>
    <s v="Paid"/>
    <n v="18"/>
    <n v="70"/>
    <n v="66.5"/>
    <n v="22.4"/>
    <n v="26.1"/>
    <s v="South"/>
    <s v="Blender"/>
    <s v="Consumer"/>
    <x v="8"/>
  </r>
  <r>
    <s v="ORD0205"/>
    <d v="2025-09-03T00:00:00"/>
    <s v="CUST017"/>
    <s v="PROD010"/>
    <s v="Kevin"/>
    <n v="1"/>
    <n v="0"/>
    <s v="Paid "/>
    <n v="15"/>
    <n v="240"/>
    <n v="240"/>
    <n v="55.2"/>
    <n v="169.8"/>
    <s v="East"/>
    <s v="Vacuum Cleaner"/>
    <s v="Corporate"/>
    <x v="10"/>
  </r>
  <r>
    <s v="ORD0206"/>
    <d v="2025-11-25T00:00:00"/>
    <s v="CUST053"/>
    <s v="PROD010"/>
    <s v="Daniel"/>
    <n v="1"/>
    <n v="0"/>
    <s v="Refunded"/>
    <n v="15"/>
    <n v="240"/>
    <n v="240"/>
    <n v="55.2"/>
    <n v="169.8"/>
    <s v="West"/>
    <s v="Vacuum Cleaner"/>
    <s v="Home Office"/>
    <x v="0"/>
  </r>
  <r>
    <s v="ORD0207"/>
    <d v="2025-10-10T00:00:00"/>
    <s v="CUST060"/>
    <s v="PROD009"/>
    <s v="Kevin"/>
    <n v="3"/>
    <n v="0"/>
    <s v="Pending"/>
    <n v="10"/>
    <n v="130"/>
    <n v="390"/>
    <n v="33.799999999999997"/>
    <n v="278.60000000000002"/>
    <s v="North"/>
    <s v="Air Fryer"/>
    <s v="Consumer"/>
    <x v="1"/>
  </r>
  <r>
    <s v="ORD0208"/>
    <d v="2025-09-23T00:00:00"/>
    <s v="CUST017"/>
    <s v="PROD007"/>
    <s v="Grace"/>
    <n v="5"/>
    <n v="0"/>
    <s v="Pending"/>
    <n v="12"/>
    <n v="160"/>
    <n v="800"/>
    <n v="38.4"/>
    <n v="596"/>
    <s v="East"/>
    <s v="Microwave"/>
    <s v="Corporate"/>
    <x v="10"/>
  </r>
  <r>
    <s v="ORD0209"/>
    <d v="2025-09-23T00:00:00"/>
    <s v="CUST022"/>
    <s v="PROD003"/>
    <s v="Bola"/>
    <n v="3"/>
    <n v="0"/>
    <s v="Paid"/>
    <n v="8"/>
    <n v="90"/>
    <n v="270"/>
    <n v="25.2"/>
    <n v="186.4"/>
    <s v="South"/>
    <s v="Headphones"/>
    <s v="Corporate"/>
    <x v="10"/>
  </r>
  <r>
    <s v="ORD0210"/>
    <d v="2025-06-05T00:00:00"/>
    <s v="CUST033"/>
    <s v="PROD004"/>
    <s v="Kevin"/>
    <n v="5"/>
    <n v="0.05"/>
    <s v="Paid"/>
    <n v="18"/>
    <n v="180"/>
    <n v="855"/>
    <n v="54"/>
    <n v="567"/>
    <s v="North"/>
    <s v="Office Chair"/>
    <s v="Corporate"/>
    <x v="2"/>
  </r>
  <r>
    <s v="ORD0211"/>
    <d v="2025-03-20T00:00:00"/>
    <s v="CUST012"/>
    <s v="PROD009"/>
    <s v="Grace"/>
    <n v="2"/>
    <n v="0.15"/>
    <s v="Refunded"/>
    <n v="20"/>
    <n v="130"/>
    <n v="221"/>
    <n v="33.799999999999997"/>
    <n v="133.4"/>
    <s v="West"/>
    <s v="Air Fryer"/>
    <s v="Consumer"/>
    <x v="6"/>
  </r>
  <r>
    <s v="ORD0212"/>
    <d v="2025-01-15T00:00:00"/>
    <s v="CUST080"/>
    <s v="PROD010"/>
    <s v="Daniel"/>
    <n v="3"/>
    <n v="0.15"/>
    <s v="Paid"/>
    <n v="8"/>
    <n v="240"/>
    <n v="612"/>
    <n v="55.2"/>
    <n v="438.4"/>
    <s v="East"/>
    <s v="Vacuum Cleaner"/>
    <s v="Consumer"/>
    <x v="5"/>
  </r>
  <r>
    <s v="ORD0213"/>
    <d v="2025-11-24T00:00:00"/>
    <s v="CUST074"/>
    <s v="PROD005"/>
    <s v="Daniel"/>
    <n v="2"/>
    <n v="0.15"/>
    <s v="Paid"/>
    <n v="15"/>
    <n v="320"/>
    <n v="544"/>
    <n v="86.4"/>
    <n v="356.2"/>
    <s v="West"/>
    <s v="Desk"/>
    <s v="Corporate"/>
    <x v="0"/>
  </r>
  <r>
    <s v="ORD0214"/>
    <d v="2025-12-17T00:00:00"/>
    <s v="CUST070"/>
    <s v="PROD005"/>
    <s v="Maya"/>
    <n v="3"/>
    <n v="0.1"/>
    <s v="Paid"/>
    <n v="12"/>
    <n v="320"/>
    <n v="864"/>
    <n v="86.4"/>
    <n v="592.79999999999995"/>
    <s v="East"/>
    <s v="Desk"/>
    <s v="Home Office"/>
    <x v="3"/>
  </r>
  <r>
    <s v="ORD0215"/>
    <d v="2025-09-05T00:00:00"/>
    <s v="CUST059"/>
    <s v="PROD002"/>
    <s v="Maya"/>
    <n v="1"/>
    <n v="0"/>
    <s v="Paid"/>
    <n v="10"/>
    <n v="600"/>
    <n v="600"/>
    <n v="120"/>
    <n v="470"/>
    <s v="North"/>
    <s v="Smartphone"/>
    <s v="Corporate"/>
    <x v="10"/>
  </r>
  <r>
    <s v="ORD0216"/>
    <d v="2025-06-13T00:00:00"/>
    <s v="CUST044"/>
    <s v="PROD010"/>
    <s v="Bola"/>
    <n v="2"/>
    <n v="0.05"/>
    <s v="Pending"/>
    <n v="15"/>
    <n v="240"/>
    <n v="456"/>
    <n v="55.2"/>
    <n v="330.6"/>
    <s v="West"/>
    <s v="Vacuum Cleaner"/>
    <s v="Home Office"/>
    <x v="2"/>
  </r>
  <r>
    <s v="ORD0217"/>
    <d v="2025-05-04T00:00:00"/>
    <s v="CUST017"/>
    <s v="PROD006"/>
    <s v="Maya"/>
    <n v="5"/>
    <n v="0.15"/>
    <s v="Paid"/>
    <n v="8"/>
    <n v="210"/>
    <n v="892.5"/>
    <n v="52.5"/>
    <n v="622"/>
    <s v="East"/>
    <s v="Bookshelf"/>
    <s v="Corporate"/>
    <x v="7"/>
  </r>
  <r>
    <s v="ORD0218"/>
    <d v="2025-05-29T00:00:00"/>
    <s v="CUST035"/>
    <s v="PROD008"/>
    <s v="Maya"/>
    <n v="2"/>
    <n v="0"/>
    <s v="Paid"/>
    <n v="18"/>
    <n v="70"/>
    <n v="140"/>
    <n v="22.4"/>
    <n v="77.2"/>
    <s v="West"/>
    <s v="Blender"/>
    <s v="Home Office"/>
    <x v="7"/>
  </r>
  <r>
    <s v="ORD0219"/>
    <d v="2025-06-10T00:00:00"/>
    <s v="CUST054"/>
    <s v="PROD004"/>
    <s v="Grace"/>
    <n v="2"/>
    <n v="0.05"/>
    <s v="Pending"/>
    <n v="10"/>
    <n v="180"/>
    <n v="342"/>
    <n v="54"/>
    <n v="224"/>
    <s v="South"/>
    <s v="Office Chair"/>
    <s v="Consumer"/>
    <x v="2"/>
  </r>
  <r>
    <s v="ORD0220"/>
    <d v="2025-09-12T00:00:00"/>
    <s v="CUST064"/>
    <s v="PROD009"/>
    <s v="Daniel"/>
    <n v="4"/>
    <n v="0.1"/>
    <s v="Pending"/>
    <n v="8"/>
    <n v="130"/>
    <n v="468"/>
    <n v="33.799999999999997"/>
    <n v="324.8"/>
    <s v="East"/>
    <s v="Air Fryer"/>
    <s v="Consumer"/>
    <x v="10"/>
  </r>
  <r>
    <s v="ORD0221"/>
    <d v="2025-06-30T00:00:00"/>
    <s v="CUST051"/>
    <s v="PROD009"/>
    <s v="Daniel"/>
    <n v="4"/>
    <n v="0"/>
    <s v="Paid"/>
    <n v="8"/>
    <n v="130"/>
    <n v="520"/>
    <n v="33.799999999999997"/>
    <n v="376.8"/>
    <s v="East"/>
    <s v="Air Fryer"/>
    <s v="Home Office"/>
    <x v="2"/>
  </r>
  <r>
    <s v="ORD0222"/>
    <d v="2025-01-05T00:00:00"/>
    <s v="CUST037"/>
    <s v="PROD008"/>
    <s v="Daniel"/>
    <n v="5"/>
    <n v="0.1"/>
    <s v="Paid"/>
    <n v="15"/>
    <n v="70"/>
    <n v="315"/>
    <n v="22.4"/>
    <n v="188"/>
    <s v="South"/>
    <s v="Blender"/>
    <s v="Consumer"/>
    <x v="5"/>
  </r>
  <r>
    <s v="ORD0223"/>
    <d v="2025-07-25T00:00:00"/>
    <s v="CUST018"/>
    <s v="PROD005"/>
    <s v="Daniel"/>
    <n v="3"/>
    <n v="0.1"/>
    <s v="Paid"/>
    <n v="18"/>
    <n v="320"/>
    <n v="864"/>
    <n v="86.4"/>
    <n v="586.79999999999995"/>
    <s v="South"/>
    <s v="Desk"/>
    <s v="Corporate"/>
    <x v="8"/>
  </r>
  <r>
    <s v="ORD0224"/>
    <d v="2025-07-17T00:00:00"/>
    <s v="CUST072"/>
    <s v="PROD004"/>
    <s v="Kevin"/>
    <n v="3"/>
    <n v="0.15"/>
    <s v="Paid"/>
    <n v="15"/>
    <n v="180"/>
    <n v="459"/>
    <n v="54"/>
    <n v="282"/>
    <s v="South"/>
    <s v="Office Chair"/>
    <s v="Home Office"/>
    <x v="8"/>
  </r>
  <r>
    <s v="ORD0225"/>
    <d v="2025-02-19T00:00:00"/>
    <s v="CUST071"/>
    <s v="PROD005"/>
    <s v="Maya"/>
    <n v="5"/>
    <n v="0.15"/>
    <s v="Paid"/>
    <n v="12"/>
    <n v="320"/>
    <n v="1360"/>
    <n v="86.4"/>
    <n v="916"/>
    <s v="North"/>
    <s v="Desk"/>
    <s v="Consumer"/>
    <x v="4"/>
  </r>
  <r>
    <s v="ORD0226"/>
    <d v="2025-09-18T00:00:00"/>
    <s v="CUST044"/>
    <s v="PROD009"/>
    <s v="Maya"/>
    <n v="3"/>
    <n v="0"/>
    <s v="Paid"/>
    <n v="18"/>
    <n v="130"/>
    <n v="390"/>
    <n v="33.799999999999997"/>
    <n v="270.60000000000002"/>
    <s v="West"/>
    <s v="Air Fryer"/>
    <s v="Home Office"/>
    <x v="10"/>
  </r>
  <r>
    <s v="ORD0227"/>
    <d v="2025-08-31T00:00:00"/>
    <s v="CUST006"/>
    <s v="PROD001"/>
    <s v="Kevin"/>
    <n v="1"/>
    <n v="0"/>
    <s v="Paid"/>
    <n v="15"/>
    <n v="850"/>
    <n v="850"/>
    <n v="187"/>
    <n v="648"/>
    <s v="North"/>
    <s v="Laptop"/>
    <s v="Corporate"/>
    <x v="11"/>
  </r>
  <r>
    <s v="ORD0228"/>
    <d v="2025-11-10T00:00:00"/>
    <s v="CUST020"/>
    <s v="PROD010"/>
    <s v="Bola"/>
    <n v="5"/>
    <n v="0"/>
    <s v="Paid"/>
    <n v="10"/>
    <n v="240"/>
    <n v="1200"/>
    <n v="55.2"/>
    <n v="914"/>
    <s v="South"/>
    <s v="Vacuum Cleaner"/>
    <s v="Corporate"/>
    <x v="0"/>
  </r>
  <r>
    <s v="ORD0229"/>
    <d v="2025-09-18T00:00:00"/>
    <s v="CUST051"/>
    <s v="PROD010"/>
    <s v="Kevin"/>
    <n v="3"/>
    <n v="0.15"/>
    <s v="Paid"/>
    <n v="15"/>
    <n v="240"/>
    <n v="612"/>
    <n v="55.2"/>
    <n v="431.4"/>
    <s v="East"/>
    <s v="Vacuum Cleaner"/>
    <s v="Home Office"/>
    <x v="10"/>
  </r>
  <r>
    <s v="ORD0230"/>
    <d v="2025-12-11T00:00:00"/>
    <s v="CUST073"/>
    <s v="PROD005"/>
    <s v="Daniel"/>
    <n v="4"/>
    <n v="0"/>
    <s v="Paid"/>
    <n v="15"/>
    <n v="320"/>
    <n v="1280"/>
    <n v="86.4"/>
    <n v="919.4"/>
    <s v="West"/>
    <s v="Desk"/>
    <s v="Corporate"/>
    <x v="3"/>
  </r>
  <r>
    <s v="ORD0231"/>
    <d v="2025-12-02T00:00:00"/>
    <s v="CUST075"/>
    <s v="PROD005"/>
    <s v="Kevin"/>
    <n v="1"/>
    <n v="0.15"/>
    <s v="Paid"/>
    <n v="18"/>
    <n v="320"/>
    <n v="272"/>
    <n v="86.4"/>
    <n v="167.6"/>
    <s v="South"/>
    <s v="Desk"/>
    <s v="Home Office"/>
    <x v="3"/>
  </r>
  <r>
    <s v="ORD0232"/>
    <d v="2025-11-19T00:00:00"/>
    <s v="CUST030"/>
    <s v="PROD001"/>
    <s v="Kevin"/>
    <n v="5"/>
    <n v="0.1"/>
    <s v="Paid"/>
    <n v="15"/>
    <n v="850"/>
    <n v="3825"/>
    <n v="187"/>
    <n v="2875"/>
    <s v="North"/>
    <s v="Laptop"/>
    <s v="Consumer"/>
    <x v="0"/>
  </r>
  <r>
    <s v="ORD0233"/>
    <d v="2025-02-26T00:00:00"/>
    <s v="CUST019"/>
    <s v="PROD004"/>
    <s v="Grace"/>
    <n v="1"/>
    <n v="0.15"/>
    <s v="Refunded"/>
    <n v="8"/>
    <n v="180"/>
    <n v="153"/>
    <n v="54"/>
    <n v="91"/>
    <s v="West"/>
    <s v="Office Chair"/>
    <s v="Home Office"/>
    <x v="4"/>
  </r>
  <r>
    <s v="ORD0234"/>
    <d v="2025-04-15T00:00:00"/>
    <s v="CUST057"/>
    <s v="PROD006"/>
    <s v="Maya"/>
    <n v="4"/>
    <n v="0"/>
    <s v="Paid"/>
    <n v="18"/>
    <n v="210"/>
    <n v="840"/>
    <n v="52.5"/>
    <n v="612"/>
    <s v="North"/>
    <s v="Bookshelf"/>
    <s v="Corporate"/>
    <x v="9"/>
  </r>
  <r>
    <s v="ORD0235"/>
    <d v="2025-10-15T00:00:00"/>
    <s v="CUST079"/>
    <s v="PROD008"/>
    <s v="Bola"/>
    <n v="1"/>
    <n v="0"/>
    <s v="Paid"/>
    <n v="20"/>
    <n v="70"/>
    <n v="70"/>
    <n v="22.4"/>
    <n v="27.6"/>
    <s v="West"/>
    <s v="Blender"/>
    <s v="Home Office"/>
    <x v="1"/>
  </r>
  <r>
    <s v="ORD0236"/>
    <d v="2025-08-24T00:00:00"/>
    <s v="CUST062"/>
    <s v="PROD009"/>
    <s v="Kevin"/>
    <n v="4"/>
    <n v="0.05"/>
    <s v="Refunded"/>
    <n v="12"/>
    <n v="130"/>
    <n v="494"/>
    <n v="33.799999999999997"/>
    <n v="346.8"/>
    <s v="West"/>
    <s v="Air Fryer"/>
    <s v="Consumer"/>
    <x v="11"/>
  </r>
  <r>
    <s v="ORD0237"/>
    <d v="2025-05-07T00:00:00"/>
    <s v="CUST070"/>
    <s v="PROD006"/>
    <s v="Bola"/>
    <n v="3"/>
    <n v="0.15"/>
    <s v="Paid"/>
    <n v="18"/>
    <n v="210"/>
    <n v="535.5"/>
    <n v="52.5"/>
    <n v="360"/>
    <s v="East"/>
    <s v="Bookshelf"/>
    <s v="Home Office"/>
    <x v="7"/>
  </r>
  <r>
    <s v="ORD0238"/>
    <d v="2025-12-20T00:00:00"/>
    <s v="CUST039"/>
    <s v="PROD004"/>
    <s v="Maya"/>
    <n v="3"/>
    <n v="0.05"/>
    <s v="Paid"/>
    <n v="12"/>
    <n v="180"/>
    <n v="513"/>
    <n v="54"/>
    <n v="339"/>
    <s v="East"/>
    <s v="Office Chair"/>
    <s v="Home Office"/>
    <x v="3"/>
  </r>
  <r>
    <s v="ORD0239"/>
    <d v="2025-10-21T00:00:00"/>
    <s v="CUST062"/>
    <s v="PROD006"/>
    <s v="Kevin"/>
    <n v="5"/>
    <n v="0.05"/>
    <s v="Paid"/>
    <n v="15"/>
    <n v="210"/>
    <n v="997.5"/>
    <n v="52.5"/>
    <n v="720"/>
    <s v="West"/>
    <s v="Bookshelf"/>
    <s v="Consumer"/>
    <x v="1"/>
  </r>
  <r>
    <s v="ORD0240"/>
    <d v="2025-02-10T00:00:00"/>
    <s v="CUST051"/>
    <s v="PROD006"/>
    <s v="Bola"/>
    <n v="2"/>
    <n v="0.05"/>
    <s v="Paid"/>
    <n v="15"/>
    <n v="210"/>
    <n v="399"/>
    <n v="52.5"/>
    <n v="279"/>
    <s v="East"/>
    <s v="Bookshelf"/>
    <s v="Home Office"/>
    <x v="4"/>
  </r>
  <r>
    <s v="ORD0241"/>
    <d v="2025-05-19T00:00:00"/>
    <s v="CUST033"/>
    <s v="PROD008"/>
    <s v="Kevin"/>
    <n v="2"/>
    <n v="0"/>
    <s v="Pending"/>
    <n v="20"/>
    <n v="70"/>
    <n v="140"/>
    <n v="22.4"/>
    <n v="75.2"/>
    <s v="North"/>
    <s v="Blender"/>
    <s v="Corporate"/>
    <x v="7"/>
  </r>
  <r>
    <s v="ORD0242"/>
    <d v="2025-05-03T00:00:00"/>
    <s v="CUST035"/>
    <s v="PROD003"/>
    <s v="Grace"/>
    <n v="1"/>
    <n v="0.15"/>
    <s v="Paid"/>
    <n v="8"/>
    <n v="90"/>
    <n v="76.5"/>
    <n v="25.2"/>
    <n v="43.3"/>
    <s v="West"/>
    <s v="Headphones"/>
    <s v="Home Office"/>
    <x v="7"/>
  </r>
  <r>
    <s v="ORD0243"/>
    <d v="2025-06-19T00:00:00"/>
    <s v="CUST068"/>
    <s v="PROD004"/>
    <s v="Maya"/>
    <n v="2"/>
    <n v="0"/>
    <s v="Paid"/>
    <n v="8"/>
    <n v="180"/>
    <n v="360"/>
    <n v="54"/>
    <n v="244"/>
    <s v="North"/>
    <s v="Office Chair"/>
    <s v="Consumer"/>
    <x v="2"/>
  </r>
  <r>
    <s v="ORD0244"/>
    <d v="2025-09-01T00:00:00"/>
    <s v="CUST018"/>
    <s v="PROD001"/>
    <s v="Maya"/>
    <n v="5"/>
    <n v="0"/>
    <s v="Paid"/>
    <n v="20"/>
    <n v="850"/>
    <n v="4250"/>
    <n v="187"/>
    <n v="3295"/>
    <s v="South"/>
    <s v="Laptop"/>
    <s v="Corporate"/>
    <x v="10"/>
  </r>
  <r>
    <s v="ORD0245"/>
    <d v="2025-02-15T00:00:00"/>
    <s v="CUST026"/>
    <s v="PROD005"/>
    <s v="Kevin"/>
    <n v="3"/>
    <n v="0.05"/>
    <s v="Paid"/>
    <n v="10"/>
    <n v="320"/>
    <n v="912"/>
    <n v="86.4"/>
    <n v="642.79999999999995"/>
    <s v="North"/>
    <s v="Desk"/>
    <s v="Corporate"/>
    <x v="4"/>
  </r>
  <r>
    <s v="ORD0246"/>
    <d v="2025-04-01T00:00:00"/>
    <s v="CUST069"/>
    <s v="PROD001"/>
    <s v="Daniel"/>
    <n v="2"/>
    <n v="0.1"/>
    <s v="Pending"/>
    <n v="15"/>
    <n v="850"/>
    <n v="1530"/>
    <n v="187"/>
    <n v="1141"/>
    <s v="West"/>
    <s v="Laptop"/>
    <s v="Corporate"/>
    <x v="9"/>
  </r>
  <r>
    <s v="ORD0247"/>
    <d v="2025-10-18T00:00:00"/>
    <s v="CUST064"/>
    <s v="PROD003"/>
    <s v="Kevin"/>
    <n v="3"/>
    <n v="0"/>
    <s v="Paid"/>
    <n v="8"/>
    <n v="90"/>
    <n v="270"/>
    <n v="25.2"/>
    <n v="186.4"/>
    <s v="East"/>
    <s v="Headphones"/>
    <s v="Consumer"/>
    <x v="1"/>
  </r>
  <r>
    <s v="ORD0248"/>
    <d v="2025-03-10T00:00:00"/>
    <s v="CUST043"/>
    <s v="PROD005"/>
    <s v="Kevin"/>
    <n v="4"/>
    <n v="0.15"/>
    <s v="Paid"/>
    <n v="15"/>
    <n v="320"/>
    <n v="1088"/>
    <n v="86.4"/>
    <n v="727.4"/>
    <s v="South"/>
    <s v="Desk"/>
    <s v="Consumer"/>
    <x v="6"/>
  </r>
  <r>
    <s v="ORD0249"/>
    <d v="2025-08-23T00:00:00"/>
    <s v="CUST035"/>
    <s v="PROD004"/>
    <s v="Bola"/>
    <n v="1"/>
    <n v="0.05"/>
    <s v="Paid"/>
    <n v="20"/>
    <n v="180"/>
    <n v="171"/>
    <n v="54"/>
    <n v="97"/>
    <s v="West"/>
    <s v="Office Chair"/>
    <s v="Home Office"/>
    <x v="11"/>
  </r>
  <r>
    <s v="ORD0250"/>
    <d v="2025-04-09T00:00:00"/>
    <s v="CUST024"/>
    <s v="PROD001"/>
    <s v="Grace"/>
    <n v="3"/>
    <n v="0.05"/>
    <s v="Paid"/>
    <n v="18"/>
    <n v="850"/>
    <n v="2422.5"/>
    <n v="187"/>
    <n v="1843.5"/>
    <s v="East"/>
    <s v="Laptop"/>
    <s v="Consumer"/>
    <x v="9"/>
  </r>
  <r>
    <s v="ORD0251"/>
    <d v="2025-12-09T00:00:00"/>
    <s v="CUST052"/>
    <s v="PROD007"/>
    <s v="Daniel"/>
    <n v="5"/>
    <n v="0.05"/>
    <s v="Paid"/>
    <n v="10"/>
    <n v="160"/>
    <n v="760"/>
    <n v="38.4"/>
    <n v="558"/>
    <s v="South"/>
    <s v="Microwave"/>
    <s v="Consumer"/>
    <x v="3"/>
  </r>
  <r>
    <s v="ORD0252"/>
    <d v="2025-07-16T00:00:00"/>
    <s v="CUST018"/>
    <s v="PROD008"/>
    <s v="Grace"/>
    <n v="3"/>
    <n v="0"/>
    <s v="Paid"/>
    <n v="15"/>
    <n v="70"/>
    <n v="210"/>
    <n v="22.4"/>
    <n v="127.80000000000001"/>
    <s v="South"/>
    <s v="Blender"/>
    <s v="Corporate"/>
    <x v="8"/>
  </r>
  <r>
    <s v="ORD0253"/>
    <d v="2025-01-06T00:00:00"/>
    <s v="CUST035"/>
    <s v="PROD006"/>
    <s v="Bola"/>
    <n v="3"/>
    <n v="0.15"/>
    <s v="Paid"/>
    <n v="20"/>
    <n v="210"/>
    <n v="535.5"/>
    <n v="52.5"/>
    <n v="358"/>
    <s v="West"/>
    <s v="Bookshelf"/>
    <s v="Home Office"/>
    <x v="5"/>
  </r>
  <r>
    <s v="ORD0254"/>
    <d v="2025-03-23T00:00:00"/>
    <s v="CUST047"/>
    <s v="PROD004"/>
    <s v="Maya"/>
    <n v="1"/>
    <n v="0"/>
    <s v="Paid"/>
    <n v="20"/>
    <n v="180"/>
    <n v="180"/>
    <n v="54"/>
    <n v="106"/>
    <s v="North"/>
    <s v="Office Chair"/>
    <s v="Home Office"/>
    <x v="6"/>
  </r>
  <r>
    <s v="ORD0255"/>
    <d v="2025-04-24T00:00:00"/>
    <s v="CUST065"/>
    <s v="PROD005"/>
    <s v="Grace"/>
    <n v="1"/>
    <n v="0.05"/>
    <s v="Paid"/>
    <n v="10"/>
    <n v="320"/>
    <n v="304"/>
    <n v="86.4"/>
    <n v="207.6"/>
    <s v="North"/>
    <s v="Desk"/>
    <s v="Consumer"/>
    <x v="9"/>
  </r>
  <r>
    <s v="ORD0256"/>
    <d v="2025-12-26T00:00:00"/>
    <s v="CUST062"/>
    <s v="PROD003"/>
    <s v="Kevin"/>
    <n v="4"/>
    <n v="0.15"/>
    <s v="Paid"/>
    <n v="15"/>
    <n v="90"/>
    <n v="306"/>
    <n v="25.2"/>
    <n v="190.2"/>
    <s v="West"/>
    <s v="Headphones"/>
    <s v="Consumer"/>
    <x v="3"/>
  </r>
  <r>
    <s v="ORD0257"/>
    <d v="2025-02-11T00:00:00"/>
    <s v="CUST069"/>
    <s v="PROD004"/>
    <s v="Kevin"/>
    <n v="2"/>
    <n v="0.15"/>
    <s v="Pending"/>
    <n v="15"/>
    <n v="180"/>
    <n v="306"/>
    <n v="54"/>
    <n v="183"/>
    <s v="West"/>
    <s v="Office Chair"/>
    <s v="Corporate"/>
    <x v="4"/>
  </r>
  <r>
    <s v="ORD0258"/>
    <d v="2025-10-08T00:00:00"/>
    <s v="CUST068"/>
    <s v="PROD006"/>
    <s v="Kevin"/>
    <n v="1"/>
    <n v="0.15"/>
    <s v="Paid"/>
    <n v="10"/>
    <n v="210"/>
    <n v="178.5"/>
    <n v="52.5"/>
    <n v="116"/>
    <s v="North"/>
    <s v="Bookshelf"/>
    <s v="Consumer"/>
    <x v="1"/>
  </r>
  <r>
    <s v="ORD0259"/>
    <d v="2025-09-24T00:00:00"/>
    <s v="CUST074"/>
    <s v="PROD009"/>
    <s v="Maya"/>
    <n v="2"/>
    <n v="0"/>
    <s v="Paid"/>
    <n v="8"/>
    <n v="130"/>
    <n v="260"/>
    <n v="33.799999999999997"/>
    <n v="184.4"/>
    <s v="West"/>
    <s v="Air Fryer"/>
    <s v="Corporate"/>
    <x v="10"/>
  </r>
  <r>
    <s v="ORD0260"/>
    <d v="2025-08-17T00:00:00"/>
    <s v="CUST027"/>
    <s v="PROD010"/>
    <s v="Daniel"/>
    <n v="4"/>
    <n v="0"/>
    <s v="Pending"/>
    <n v="15"/>
    <n v="240"/>
    <n v="960"/>
    <n v="55.2"/>
    <n v="724.2"/>
    <s v="East"/>
    <s v="Vacuum Cleaner"/>
    <s v="Consumer"/>
    <x v="11"/>
  </r>
  <r>
    <s v="ORD0261"/>
    <d v="2025-10-14T00:00:00"/>
    <s v="CUST017"/>
    <s v="PROD009"/>
    <s v="Maya"/>
    <n v="4"/>
    <n v="0.1"/>
    <s v="Paid"/>
    <n v="20"/>
    <n v="130"/>
    <n v="468"/>
    <n v="33.799999999999997"/>
    <n v="312.8"/>
    <s v="East"/>
    <s v="Air Fryer"/>
    <s v="Corporate"/>
    <x v="1"/>
  </r>
  <r>
    <s v="ORD0262"/>
    <d v="2025-04-22T00:00:00"/>
    <s v="CUST040"/>
    <s v="PROD001"/>
    <s v="Kevin"/>
    <n v="4"/>
    <n v="0.05"/>
    <s v="Pending"/>
    <n v="8"/>
    <n v="850"/>
    <n v="3230"/>
    <n v="187"/>
    <n v="2474"/>
    <s v="South"/>
    <s v="Laptop"/>
    <s v="Corporate"/>
    <x v="9"/>
  </r>
  <r>
    <s v="ORD0263"/>
    <d v="2025-01-31T00:00:00"/>
    <s v="CUST006"/>
    <s v="PROD007"/>
    <s v="Daniel"/>
    <n v="3"/>
    <n v="0"/>
    <s v="Paid"/>
    <n v="15"/>
    <n v="160"/>
    <n v="480"/>
    <n v="38.4"/>
    <n v="349.8"/>
    <s v="North"/>
    <s v="Microwave"/>
    <s v="Corporate"/>
    <x v="5"/>
  </r>
  <r>
    <s v="ORD0264"/>
    <d v="2025-11-25T00:00:00"/>
    <s v="CUST005"/>
    <s v="PROD005"/>
    <s v="Maya"/>
    <n v="4"/>
    <n v="0"/>
    <s v="Paid"/>
    <n v="12"/>
    <n v="320"/>
    <n v="1280"/>
    <n v="86.4"/>
    <n v="922.4"/>
    <s v="West"/>
    <s v="Desk"/>
    <s v="Consumer"/>
    <x v="0"/>
  </r>
  <r>
    <s v="ORD0265"/>
    <d v="2025-12-05T00:00:00"/>
    <s v="CUST049"/>
    <s v="PROD008"/>
    <s v="Kevin"/>
    <n v="4"/>
    <n v="0.1"/>
    <s v="Paid"/>
    <n v="10"/>
    <n v="70"/>
    <n v="252"/>
    <n v="22.4"/>
    <n v="152.4"/>
    <s v="East"/>
    <s v="Blender"/>
    <s v="Home Office"/>
    <x v="3"/>
  </r>
  <r>
    <s v="ORD0266"/>
    <d v="2025-03-07T00:00:00"/>
    <s v="CUST045"/>
    <s v="PROD002"/>
    <s v="Grace"/>
    <n v="2"/>
    <n v="0.15"/>
    <s v="Paid"/>
    <n v="8"/>
    <n v="600"/>
    <n v="1020"/>
    <n v="120"/>
    <n v="772"/>
    <s v="West"/>
    <s v="Smartphone"/>
    <s v="Consumer"/>
    <x v="6"/>
  </r>
  <r>
    <s v="ORD0267"/>
    <d v="2025-07-14T00:00:00"/>
    <s v="CUST003"/>
    <s v="PROD005"/>
    <s v="Grace"/>
    <n v="4"/>
    <n v="0.15"/>
    <s v="Paid"/>
    <n v="10"/>
    <n v="320"/>
    <n v="1088"/>
    <n v="86.4"/>
    <n v="732.4"/>
    <s v="West"/>
    <s v="Desk"/>
    <s v="Corporate"/>
    <x v="8"/>
  </r>
  <r>
    <s v="ORD0268"/>
    <d v="2025-02-27T00:00:00"/>
    <s v="CUST059"/>
    <s v="PROD006"/>
    <s v="Daniel"/>
    <n v="2"/>
    <n v="0.05"/>
    <s v="Paid"/>
    <n v="20"/>
    <n v="210"/>
    <n v="399"/>
    <n v="52.5"/>
    <n v="274"/>
    <s v="North"/>
    <s v="Bookshelf"/>
    <s v="Corporate"/>
    <x v="4"/>
  </r>
  <r>
    <s v="ORD0269"/>
    <d v="2025-02-21T00:00:00"/>
    <s v="CUST054"/>
    <s v="PROD010"/>
    <s v="Kevin"/>
    <n v="1"/>
    <n v="0"/>
    <s v="Paid"/>
    <n v="8"/>
    <n v="240"/>
    <n v="240"/>
    <n v="55.2"/>
    <n v="176.8"/>
    <s v="South"/>
    <s v="Vacuum Cleaner"/>
    <s v="Consumer"/>
    <x v="4"/>
  </r>
  <r>
    <s v="ORD0270"/>
    <d v="2025-07-25T00:00:00"/>
    <s v="CUST058"/>
    <s v="PROD010"/>
    <s v="Maya"/>
    <n v="1"/>
    <n v="0"/>
    <s v="Paid"/>
    <n v="10"/>
    <n v="240"/>
    <n v="240"/>
    <n v="55.2"/>
    <n v="174.8"/>
    <s v="South"/>
    <s v="Vacuum Cleaner"/>
    <s v="Consumer"/>
    <x v="8"/>
  </r>
  <r>
    <s v="ORD0271"/>
    <d v="2025-05-29T00:00:00"/>
    <s v="CUST070"/>
    <s v="PROD004"/>
    <s v="Grace"/>
    <n v="1"/>
    <n v="0"/>
    <s v="Paid"/>
    <n v="20"/>
    <n v="180"/>
    <n v="180"/>
    <n v="54"/>
    <n v="106"/>
    <s v="East"/>
    <s v="Office Chair"/>
    <s v="Home Office"/>
    <x v="7"/>
  </r>
  <r>
    <s v="ORD0272"/>
    <d v="2025-06-14T00:00:00"/>
    <s v="CUST074"/>
    <s v="PROD006"/>
    <s v="Grace"/>
    <n v="5"/>
    <n v="0.15"/>
    <s v="Paid"/>
    <n v="12"/>
    <n v="210"/>
    <n v="892.5"/>
    <n v="52.5"/>
    <n v="618"/>
    <s v="West"/>
    <s v="Bookshelf"/>
    <s v="Corporate"/>
    <x v="2"/>
  </r>
  <r>
    <s v="ORD0273"/>
    <d v="2025-02-01T00:00:00"/>
    <s v="CUST019"/>
    <s v="PROD009"/>
    <s v="Kevin"/>
    <n v="2"/>
    <n v="0.1"/>
    <s v="Paid"/>
    <n v="18"/>
    <n v="130"/>
    <n v="234"/>
    <n v="33.799999999999997"/>
    <n v="148.4"/>
    <s v="West"/>
    <s v="Air Fryer"/>
    <s v="Home Office"/>
    <x v="4"/>
  </r>
  <r>
    <s v="ORD0274"/>
    <d v="2025-06-26T00:00:00"/>
    <s v="CUST023"/>
    <s v="PROD007"/>
    <s v="Maya"/>
    <n v="5"/>
    <n v="0.1"/>
    <s v="Paid"/>
    <n v="18"/>
    <n v="160"/>
    <n v="720"/>
    <n v="38.4"/>
    <n v="510"/>
    <s v="South"/>
    <s v="Microwave"/>
    <s v="Corporate"/>
    <x v="2"/>
  </r>
  <r>
    <s v="ORD0275"/>
    <d v="2025-04-05T00:00:00"/>
    <s v="CUST041"/>
    <s v="PROD007"/>
    <s v="Kevin"/>
    <n v="4"/>
    <n v="0"/>
    <s v="Paid"/>
    <n v="15"/>
    <n v="160"/>
    <n v="640"/>
    <n v="38.4"/>
    <n v="471.4"/>
    <s v="West"/>
    <s v="Microwave"/>
    <s v="Corporate"/>
    <x v="9"/>
  </r>
  <r>
    <s v="ORD0276"/>
    <d v="2025-01-30T00:00:00"/>
    <s v="CUST031"/>
    <s v="PROD004"/>
    <s v="Kevin"/>
    <n v="3"/>
    <n v="0"/>
    <s v="Pending"/>
    <n v="15"/>
    <n v="180"/>
    <n v="540"/>
    <n v="54"/>
    <n v="363"/>
    <s v="South"/>
    <s v="Office Chair"/>
    <s v="Consumer"/>
    <x v="5"/>
  </r>
  <r>
    <s v="ORD0277"/>
    <d v="2025-05-11T00:00:00"/>
    <s v="CUST054"/>
    <s v="PROD009"/>
    <s v="Grace"/>
    <n v="5"/>
    <n v="0"/>
    <s v="Paid"/>
    <n v="12"/>
    <n v="130"/>
    <n v="650"/>
    <n v="33.799999999999997"/>
    <n v="469"/>
    <s v="South"/>
    <s v="Air Fryer"/>
    <s v="Consumer"/>
    <x v="7"/>
  </r>
  <r>
    <s v="ORD0278"/>
    <d v="2025-04-08T00:00:00"/>
    <s v="CUST011"/>
    <s v="PROD008"/>
    <s v="Daniel"/>
    <n v="3"/>
    <n v="0"/>
    <s v="Paid"/>
    <n v="12"/>
    <n v="70"/>
    <n v="210"/>
    <n v="22.4"/>
    <n v="130.80000000000001"/>
    <s v="East"/>
    <s v="Blender"/>
    <s v="Home Office"/>
    <x v="9"/>
  </r>
  <r>
    <s v="ORD0279"/>
    <d v="2025-04-07T00:00:00"/>
    <s v="CUST049"/>
    <s v="PROD010"/>
    <s v="Kevin"/>
    <n v="5"/>
    <n v="0"/>
    <s v="Pending"/>
    <n v="20"/>
    <n v="240"/>
    <n v="1200"/>
    <n v="55.2"/>
    <n v="904"/>
    <s v="East"/>
    <s v="Vacuum Cleaner"/>
    <s v="Home Office"/>
    <x v="9"/>
  </r>
  <r>
    <s v="ORD0280"/>
    <d v="2025-06-20T00:00:00"/>
    <s v="CUST072"/>
    <s v="PROD004"/>
    <s v="Bola"/>
    <n v="4"/>
    <n v="0"/>
    <s v="Pending"/>
    <n v="8"/>
    <n v="180"/>
    <n v="720"/>
    <n v="54"/>
    <n v="496"/>
    <s v="South"/>
    <s v="Office Chair"/>
    <s v="Home Office"/>
    <x v="2"/>
  </r>
  <r>
    <s v="ORD0281"/>
    <d v="2025-12-23T00:00:00"/>
    <s v="CUST028"/>
    <s v="PROD004"/>
    <s v="Kevin"/>
    <n v="1"/>
    <n v="0.1"/>
    <s v="Pending"/>
    <n v="20"/>
    <n v="180"/>
    <n v="162"/>
    <n v="54"/>
    <n v="88"/>
    <s v="East"/>
    <s v="Office Chair"/>
    <s v="Home Office"/>
    <x v="3"/>
  </r>
  <r>
    <s v="ORD0282"/>
    <d v="2025-05-25T00:00:00"/>
    <s v="CUST027"/>
    <s v="PROD007"/>
    <s v="Maya"/>
    <n v="2"/>
    <n v="0.15"/>
    <s v="Paid"/>
    <n v="15"/>
    <n v="160"/>
    <n v="272"/>
    <n v="38.4"/>
    <n v="180.2"/>
    <s v="East"/>
    <s v="Microwave"/>
    <s v="Consumer"/>
    <x v="7"/>
  </r>
  <r>
    <s v="ORD0283"/>
    <d v="2025-09-12T00:00:00"/>
    <s v="CUST069"/>
    <s v="PROD006"/>
    <s v="Maya"/>
    <n v="3"/>
    <n v="0.05"/>
    <s v="Paid"/>
    <n v="8"/>
    <n v="210"/>
    <n v="598.5"/>
    <n v="52.5"/>
    <n v="433"/>
    <s v="West"/>
    <s v="Bookshelf"/>
    <s v="Corporate"/>
    <x v="10"/>
  </r>
  <r>
    <s v="ORD0284"/>
    <d v="2025-01-24T00:00:00"/>
    <s v="CUST061"/>
    <s v="PROD006"/>
    <s v="Kevin"/>
    <n v="2"/>
    <n v="0.05"/>
    <s v="Paid"/>
    <n v="10"/>
    <n v="210"/>
    <n v="399"/>
    <n v="52.5"/>
    <n v="284"/>
    <s v="West"/>
    <s v="Bookshelf"/>
    <s v="Corporate"/>
    <x v="5"/>
  </r>
  <r>
    <s v="ORD0285"/>
    <d v="2025-10-24T00:00:00"/>
    <s v="CUST019"/>
    <s v="PROD001"/>
    <s v="Maya"/>
    <n v="3"/>
    <n v="0.15"/>
    <s v="Pending"/>
    <n v="12"/>
    <n v="850"/>
    <n v="2167.5"/>
    <n v="187"/>
    <n v="1594.5"/>
    <s v="West"/>
    <s v="Laptop"/>
    <s v="Home Office"/>
    <x v="1"/>
  </r>
  <r>
    <s v="ORD0286"/>
    <d v="2025-05-06T00:00:00"/>
    <s v="CUST020"/>
    <s v="PROD004"/>
    <s v="Maya"/>
    <n v="3"/>
    <n v="0"/>
    <s v="Paid"/>
    <n v="18"/>
    <n v="180"/>
    <n v="540"/>
    <n v="54"/>
    <n v="360"/>
    <s v="South"/>
    <s v="Office Chair"/>
    <s v="Corporate"/>
    <x v="7"/>
  </r>
  <r>
    <s v="ORD0287"/>
    <d v="2025-06-30T00:00:00"/>
    <s v="CUST044"/>
    <s v="PROD005"/>
    <s v="Grace"/>
    <n v="4"/>
    <n v="0.1"/>
    <s v="Paid"/>
    <n v="10"/>
    <n v="320"/>
    <n v="1152"/>
    <n v="86.4"/>
    <n v="796.4"/>
    <s v="West"/>
    <s v="Desk"/>
    <s v="Home Office"/>
    <x v="2"/>
  </r>
  <r>
    <s v="ORD0288"/>
    <d v="2025-01-31T00:00:00"/>
    <s v="CUST070"/>
    <s v="PROD008"/>
    <s v="Kevin"/>
    <n v="2"/>
    <n v="0.15"/>
    <s v="Refunded"/>
    <n v="8"/>
    <n v="70"/>
    <n v="119"/>
    <n v="22.4"/>
    <n v="66.2"/>
    <s v="East"/>
    <s v="Blender"/>
    <s v="Home Office"/>
    <x v="5"/>
  </r>
  <r>
    <s v="ORD0289"/>
    <d v="2025-11-19T00:00:00"/>
    <s v="CUST010"/>
    <s v="PROD001"/>
    <s v="Grace"/>
    <n v="1"/>
    <n v="-0.05"/>
    <s v="Paid"/>
    <n v="8"/>
    <n v="850"/>
    <n v="892.5"/>
    <n v="187"/>
    <n v="697.5"/>
    <s v="West"/>
    <s v="Laptop"/>
    <s v="Corporate"/>
    <x v="0"/>
  </r>
  <r>
    <s v="ORD0290"/>
    <d v="2025-01-31T00:00:00"/>
    <s v="CUST020"/>
    <s v="PROD001"/>
    <s v="Kevin"/>
    <n v="2"/>
    <n v="0.15"/>
    <s v="Paid"/>
    <n v="20"/>
    <n v="850"/>
    <n v="1445"/>
    <n v="187"/>
    <n v="1051"/>
    <s v="South"/>
    <s v="Laptop"/>
    <s v="Corporate"/>
    <x v="5"/>
  </r>
  <r>
    <s v="ORD0291"/>
    <d v="2025-10-10T00:00:00"/>
    <s v="CUST079"/>
    <s v="PROD008"/>
    <s v="Maya"/>
    <n v="4"/>
    <n v="0"/>
    <s v="Paid"/>
    <n v="8"/>
    <n v="70"/>
    <n v="280"/>
    <n v="22.4"/>
    <n v="182.4"/>
    <s v="West"/>
    <s v="Blender"/>
    <s v="Home Office"/>
    <x v="1"/>
  </r>
  <r>
    <s v="ORD0292"/>
    <d v="2025-01-09T00:00:00"/>
    <s v="CUST003"/>
    <s v="PROD009"/>
    <s v="Kevin"/>
    <n v="3"/>
    <n v="0.15"/>
    <s v="Refunded"/>
    <n v="20"/>
    <n v="130"/>
    <n v="331.5"/>
    <n v="33.799999999999997"/>
    <n v="210.10000000000002"/>
    <s v="West"/>
    <s v="Air Fryer"/>
    <s v="Corporate"/>
    <x v="5"/>
  </r>
  <r>
    <s v="ORD0293"/>
    <d v="2025-05-04T00:00:00"/>
    <s v="CUST056"/>
    <s v="PROD003"/>
    <s v="Grace"/>
    <n v="1"/>
    <n v="0"/>
    <s v="Paid"/>
    <n v="18"/>
    <n v="90"/>
    <n v="90"/>
    <n v="25.2"/>
    <n v="46.8"/>
    <s v="North"/>
    <s v="Headphones"/>
    <s v="Home Office"/>
    <x v="7"/>
  </r>
  <r>
    <s v="ORD0294"/>
    <d v="2025-02-10T00:00:00"/>
    <s v="CUST068"/>
    <s v="PROD005"/>
    <s v="Bola"/>
    <n v="3"/>
    <n v="0.05"/>
    <s v="Pending"/>
    <n v="15"/>
    <n v="320"/>
    <n v="912"/>
    <n v="86.4"/>
    <n v="637.79999999999995"/>
    <s v="North"/>
    <s v="Desk"/>
    <s v="Consumer"/>
    <x v="4"/>
  </r>
  <r>
    <s v="ORD0295"/>
    <d v="2025-02-11T00:00:00"/>
    <s v="CUST059"/>
    <s v="PROD010"/>
    <s v="Daniel"/>
    <n v="2"/>
    <n v="0"/>
    <s v="Paid"/>
    <n v="8"/>
    <n v="240"/>
    <n v="480"/>
    <n v="55.2"/>
    <n v="361.6"/>
    <s v="North"/>
    <s v="Vacuum Cleaner"/>
    <s v="Corporate"/>
    <x v="4"/>
  </r>
  <r>
    <s v="ORD0296"/>
    <d v="2025-11-23T00:00:00"/>
    <s v="CUST052"/>
    <s v="PROD007"/>
    <s v="Daniel"/>
    <n v="4"/>
    <n v="0.15"/>
    <s v="Paid"/>
    <n v="20"/>
    <n v="160"/>
    <n v="544"/>
    <n v="38.4"/>
    <n v="370.4"/>
    <s v="South"/>
    <s v="Microwave"/>
    <s v="Consumer"/>
    <x v="0"/>
  </r>
  <r>
    <s v="ORD0297"/>
    <d v="2025-06-19T00:00:00"/>
    <s v="CUST022"/>
    <s v="PROD002"/>
    <s v="Kevin"/>
    <n v="4"/>
    <n v="0.1"/>
    <s v="Paid"/>
    <n v="8"/>
    <n v="600"/>
    <n v="2160"/>
    <n v="120"/>
    <n v="1672"/>
    <s v="South"/>
    <s v="Smartphone"/>
    <s v="Corporate"/>
    <x v="2"/>
  </r>
  <r>
    <s v="ORD0298"/>
    <d v="2025-12-21T00:00:00"/>
    <s v="CUST068"/>
    <s v="PROD001"/>
    <s v="Kevin"/>
    <n v="2"/>
    <n v="0"/>
    <s v="Pending"/>
    <n v="15"/>
    <n v="850"/>
    <n v="1700"/>
    <n v="187"/>
    <n v="1311"/>
    <s v="North"/>
    <s v="Laptop"/>
    <s v="Consumer"/>
    <x v="3"/>
  </r>
  <r>
    <s v="ORD0299"/>
    <d v="2025-10-16T00:00:00"/>
    <s v="CUST035"/>
    <s v="PROD001"/>
    <s v="Daniel"/>
    <n v="1"/>
    <n v="0.05"/>
    <s v="Pending"/>
    <n v="10"/>
    <n v="850"/>
    <n v="807.5"/>
    <n v="187"/>
    <n v="610.5"/>
    <s v="West"/>
    <s v="Laptop"/>
    <s v="Home Office"/>
    <x v="1"/>
  </r>
  <r>
    <s v="ORD0300"/>
    <d v="2025-12-31T00:00:00"/>
    <s v="CUST041"/>
    <s v="PROD001"/>
    <s v="Maya"/>
    <n v="2"/>
    <n v="0.15"/>
    <s v="Paid"/>
    <n v="8"/>
    <n v="850"/>
    <n v="1445"/>
    <n v="187"/>
    <n v="1063"/>
    <s v="West"/>
    <s v="Laptop"/>
    <s v="Corporate"/>
    <x v="3"/>
  </r>
  <r>
    <s v="ORD0301"/>
    <d v="2025-07-19T00:00:00"/>
    <s v="CUST039"/>
    <s v="PROD003"/>
    <s v="Kevin"/>
    <n v="5"/>
    <n v="0"/>
    <s v="Paid"/>
    <n v="12"/>
    <n v="90"/>
    <n v="450"/>
    <n v="25.2"/>
    <n v="312"/>
    <s v="East"/>
    <s v="Headphones"/>
    <s v="Home Office"/>
    <x v="8"/>
  </r>
  <r>
    <s v="ORD0302"/>
    <d v="2025-06-27T00:00:00"/>
    <s v="CUST050"/>
    <s v="PROD003"/>
    <s v="Daniel"/>
    <n v="1"/>
    <n v="0.15"/>
    <s v="Paid"/>
    <n v="8"/>
    <n v="90"/>
    <n v="76.5"/>
    <n v="25.2"/>
    <n v="43.3"/>
    <s v="West"/>
    <s v="Headphones"/>
    <s v="Consumer"/>
    <x v="2"/>
  </r>
  <r>
    <s v="ORD0303"/>
    <d v="2025-11-11T00:00:00"/>
    <s v="CUST056"/>
    <s v="PROD004"/>
    <s v="Kevin"/>
    <n v="1"/>
    <n v="0.05"/>
    <s v="Paid"/>
    <n v="15"/>
    <n v="180"/>
    <n v="171"/>
    <n v="54"/>
    <n v="102"/>
    <s v="North"/>
    <s v="Office Chair"/>
    <s v="Home Office"/>
    <x v="0"/>
  </r>
  <r>
    <s v="ORD0304"/>
    <d v="2025-07-02T00:00:00"/>
    <s v="CUST042"/>
    <s v="PROD001"/>
    <s v="Kevin"/>
    <n v="3"/>
    <n v="0.1"/>
    <s v="Paid"/>
    <n v="15"/>
    <n v="850"/>
    <n v="2295"/>
    <n v="187"/>
    <n v="1719"/>
    <s v="West"/>
    <s v="Laptop"/>
    <s v="Corporate"/>
    <x v="8"/>
  </r>
  <r>
    <s v="ORD0305"/>
    <d v="2025-11-13T00:00:00"/>
    <s v="CUST056"/>
    <s v="PROD003"/>
    <s v="Bola"/>
    <n v="5"/>
    <n v="0.1"/>
    <s v="Paid"/>
    <n v="10"/>
    <n v="90"/>
    <n v="405"/>
    <n v="25.2"/>
    <n v="269"/>
    <s v="North"/>
    <s v="Headphones"/>
    <s v="Home Office"/>
    <x v="0"/>
  </r>
  <r>
    <s v="ORD0306"/>
    <d v="2025-11-21T00:00:00"/>
    <s v="CUST010"/>
    <s v="PROD002"/>
    <s v="Grace"/>
    <n v="3"/>
    <n v="0"/>
    <s v="Paid"/>
    <n v="20"/>
    <n v="600"/>
    <n v="1800"/>
    <n v="120"/>
    <n v="1420"/>
    <s v="West"/>
    <s v="Smartphone"/>
    <s v="Corporate"/>
    <x v="0"/>
  </r>
  <r>
    <s v="ORD0307"/>
    <d v="2025-06-07T00:00:00"/>
    <s v="CUST050"/>
    <s v="PROD006"/>
    <s v="Maya"/>
    <n v="3"/>
    <n v="0"/>
    <s v="Paid"/>
    <n v="12"/>
    <n v="210"/>
    <n v="630"/>
    <n v="52.5"/>
    <n v="460.5"/>
    <s v="West"/>
    <s v="Bookshelf"/>
    <s v="Consumer"/>
    <x v="2"/>
  </r>
  <r>
    <s v="ORD0308"/>
    <d v="2025-08-18T00:00:00"/>
    <s v="CUST035"/>
    <s v="PROD002"/>
    <s v="Kevin"/>
    <n v="2"/>
    <n v="0"/>
    <s v="Paid"/>
    <n v="18"/>
    <n v="600"/>
    <n v="1200"/>
    <n v="120"/>
    <n v="942"/>
    <s v="West"/>
    <s v="Smartphone"/>
    <s v="Home Office"/>
    <x v="11"/>
  </r>
  <r>
    <s v="ORD0309"/>
    <d v="2025-10-11T00:00:00"/>
    <s v="CUST066"/>
    <s v="PROD007"/>
    <s v="Daniel"/>
    <n v="1"/>
    <n v="0"/>
    <s v="Paid"/>
    <n v="18"/>
    <n v="160"/>
    <n v="160"/>
    <n v="38.4"/>
    <n v="103.6"/>
    <s v="West"/>
    <s v="Microwave"/>
    <s v="Consumer"/>
    <x v="1"/>
  </r>
  <r>
    <s v="ORD0310"/>
    <d v="2025-07-18T00:00:00"/>
    <s v="CUST077"/>
    <s v="PROD006"/>
    <s v="Daniel"/>
    <n v="4"/>
    <n v="0"/>
    <s v="Paid"/>
    <n v="20"/>
    <n v="210"/>
    <n v="840"/>
    <n v="52.5"/>
    <n v="610"/>
    <s v="South"/>
    <s v="Bookshelf"/>
    <s v="Consumer"/>
    <x v="8"/>
  </r>
  <r>
    <s v="ORD0311"/>
    <d v="2025-07-14T00:00:00"/>
    <s v="CUST072"/>
    <s v="PROD004"/>
    <s v="Grace"/>
    <n v="5"/>
    <n v="0.15"/>
    <s v="Paid"/>
    <n v="10"/>
    <n v="180"/>
    <n v="765"/>
    <n v="54"/>
    <n v="485"/>
    <s v="South"/>
    <s v="Office Chair"/>
    <s v="Home Office"/>
    <x v="8"/>
  </r>
  <r>
    <s v="ORD0312"/>
    <d v="2025-03-27T00:00:00"/>
    <s v="CUST035"/>
    <s v="PROD005"/>
    <s v="Maya"/>
    <n v="3"/>
    <n v="0.1"/>
    <s v="Paid"/>
    <n v="12"/>
    <n v="320"/>
    <n v="864"/>
    <n v="86.4"/>
    <n v="592.79999999999995"/>
    <s v="West"/>
    <s v="Desk"/>
    <s v="Home Office"/>
    <x v="6"/>
  </r>
  <r>
    <s v="ORD0313"/>
    <d v="2025-05-07T00:00:00"/>
    <s v="CUST054"/>
    <s v="PROD005"/>
    <s v="Maya"/>
    <n v="4"/>
    <n v="0"/>
    <s v="Paid"/>
    <n v="18"/>
    <n v="320"/>
    <n v="1280"/>
    <n v="86.4"/>
    <n v="916.4"/>
    <s v="South"/>
    <s v="Desk"/>
    <s v="Consumer"/>
    <x v="7"/>
  </r>
  <r>
    <s v="ORD0314"/>
    <d v="2025-01-04T00:00:00"/>
    <s v="CUST079"/>
    <s v="PROD004"/>
    <s v="Maya"/>
    <n v="4"/>
    <n v="0"/>
    <s v="Paid"/>
    <n v="12"/>
    <n v="180"/>
    <n v="720"/>
    <n v="54"/>
    <n v="492"/>
    <s v="West"/>
    <s v="Office Chair"/>
    <s v="Home Office"/>
    <x v="5"/>
  </r>
  <r>
    <s v="ORD0315"/>
    <d v="2025-11-30T00:00:00"/>
    <s v="CUST080"/>
    <s v="PROD007"/>
    <s v="Kevin"/>
    <n v="3"/>
    <n v="0.1"/>
    <s v="Paid"/>
    <n v="10"/>
    <n v="160"/>
    <n v="432"/>
    <n v="38.4"/>
    <n v="306.8"/>
    <s v="East"/>
    <s v="Microwave"/>
    <s v="Consumer"/>
    <x v="0"/>
  </r>
  <r>
    <s v="ORD0316"/>
    <d v="2025-04-01T00:00:00"/>
    <s v="CUST039"/>
    <s v="PROD006"/>
    <s v="Maya"/>
    <n v="5"/>
    <n v="0"/>
    <s v="Paid"/>
    <n v="12"/>
    <n v="210"/>
    <n v="1050"/>
    <n v="52.5"/>
    <n v="775.5"/>
    <s v="East"/>
    <s v="Bookshelf"/>
    <s v="Home Office"/>
    <x v="9"/>
  </r>
  <r>
    <s v="ORD0317"/>
    <d v="2025-05-24T00:00:00"/>
    <s v="CUST038"/>
    <s v="PROD008"/>
    <s v="Maya"/>
    <n v="5"/>
    <n v="0"/>
    <s v="Paid"/>
    <n v="12"/>
    <n v="70"/>
    <n v="350"/>
    <n v="22.4"/>
    <n v="226"/>
    <s v="South"/>
    <s v="Blender"/>
    <s v="Consumer"/>
    <x v="7"/>
  </r>
  <r>
    <s v="ORD0318"/>
    <d v="2025-04-03T00:00:00"/>
    <s v="CUST015"/>
    <s v="PROD010"/>
    <s v="Kevin"/>
    <n v="2"/>
    <n v="0.15"/>
    <s v="Refunded"/>
    <n v="8"/>
    <n v="240"/>
    <n v="408"/>
    <n v="55.2"/>
    <n v="289.60000000000002"/>
    <s v="South"/>
    <s v="Vacuum Cleaner"/>
    <s v="Consumer"/>
    <x v="9"/>
  </r>
  <r>
    <s v="ORD0319"/>
    <d v="2025-02-05T00:00:00"/>
    <s v="CUST060"/>
    <s v="PROD004"/>
    <s v="Maya"/>
    <n v="4"/>
    <n v="0.05"/>
    <s v="Pending"/>
    <n v="20"/>
    <n v="180"/>
    <n v="684"/>
    <n v="54"/>
    <n v="448"/>
    <s v="North"/>
    <s v="Office Chair"/>
    <s v="Consumer"/>
    <x v="4"/>
  </r>
  <r>
    <s v="ORD0320"/>
    <d v="2025-03-20T00:00:00"/>
    <s v="CUST064"/>
    <s v="PROD003"/>
    <s v="Maya"/>
    <n v="3"/>
    <n v="0"/>
    <s v="Paid"/>
    <n v="15"/>
    <n v="90"/>
    <n v="270"/>
    <n v="25.2"/>
    <n v="179.4"/>
    <s v="East"/>
    <s v="Headphones"/>
    <s v="Consumer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E1CC8-311E-46F9-9086-D0907AFC50E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5">
        <item x="1"/>
        <item x="2"/>
        <item x="3"/>
        <item x="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 numFmtId="165"/>
    <dataField name="Sum of Profit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C748F-9716-4C22-BD3B-2B02BD61E5A9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11">
        <item x="4"/>
        <item x="9"/>
        <item x="5"/>
        <item x="2"/>
        <item x="8"/>
        <item x="3"/>
        <item x="6"/>
        <item x="0"/>
        <item x="1"/>
        <item x="7"/>
        <item t="default"/>
      </items>
    </pivotField>
  </pivotFields>
  <rowFields count="1">
    <field x="1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 numFmtId="165"/>
    <dataField name="Sum of Profit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59CFB-A02D-4471-9DDA-94785DD8E53C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5">
    <pivotField showAll="0"/>
    <pivotField numFmtId="14"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 numFmtId="165"/>
    <dataField name="Sum of Profit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349C7-E6A9-4F2A-8D11-2FDF309EAAA4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 numFmtId="165"/>
    <dataField name="Sum of Profit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5E3FD-78A6-4562-A6AD-95E4AB58991E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 numFmtId="165"/>
    <dataField name="Sum of Profit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08AD5-B206-4CE0-904A-FDE20733082C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13">
        <item x="5"/>
        <item x="4"/>
        <item x="6"/>
        <item x="9"/>
        <item x="7"/>
        <item x="2"/>
        <item x="8"/>
        <item x="11"/>
        <item x="10"/>
        <item x="1"/>
        <item x="0"/>
        <item x="3"/>
        <item t="default"/>
      </items>
    </pivotField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 numFmtId="165"/>
    <dataField name="Sum of Profit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C409-42C7-4C06-AA43-D121932E4ECA}">
  <dimension ref="A3:C8"/>
  <sheetViews>
    <sheetView workbookViewId="0">
      <selection activeCell="C4" sqref="C4"/>
    </sheetView>
  </sheetViews>
  <sheetFormatPr defaultRowHeight="14.4" x14ac:dyDescent="0.3"/>
  <cols>
    <col min="1" max="1" width="12.44140625" bestFit="1" customWidth="1"/>
    <col min="2" max="2" width="14.109375" bestFit="1" customWidth="1"/>
    <col min="3" max="3" width="11.5546875" bestFit="1" customWidth="1"/>
  </cols>
  <sheetData>
    <row r="3" spans="1:3" x14ac:dyDescent="0.3">
      <c r="A3" s="3" t="s">
        <v>431</v>
      </c>
      <c r="B3" t="s">
        <v>437</v>
      </c>
      <c r="C3" t="s">
        <v>438</v>
      </c>
    </row>
    <row r="4" spans="1:3" x14ac:dyDescent="0.3">
      <c r="A4" s="4" t="s">
        <v>432</v>
      </c>
      <c r="B4" s="5">
        <v>47643</v>
      </c>
      <c r="C4" s="5">
        <v>34307.000000000007</v>
      </c>
    </row>
    <row r="5" spans="1:3" x14ac:dyDescent="0.3">
      <c r="A5" s="4" t="s">
        <v>433</v>
      </c>
      <c r="B5" s="5">
        <v>63140</v>
      </c>
      <c r="C5" s="5">
        <v>47072.5</v>
      </c>
    </row>
    <row r="6" spans="1:3" x14ac:dyDescent="0.3">
      <c r="A6" s="4" t="s">
        <v>434</v>
      </c>
      <c r="B6" s="5">
        <v>56518.5</v>
      </c>
      <c r="C6" s="5">
        <v>41196.100000000006</v>
      </c>
    </row>
    <row r="7" spans="1:3" x14ac:dyDescent="0.3">
      <c r="A7" s="4" t="s">
        <v>435</v>
      </c>
      <c r="B7" s="5">
        <v>97220.5</v>
      </c>
      <c r="C7" s="5">
        <v>70786.700000000012</v>
      </c>
    </row>
    <row r="8" spans="1:3" x14ac:dyDescent="0.3">
      <c r="A8" s="4" t="s">
        <v>436</v>
      </c>
      <c r="B8" s="5">
        <v>264522</v>
      </c>
      <c r="C8" s="5">
        <v>193362.30000000002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FEB0-406F-4679-815D-580C9AE00A2A}">
  <dimension ref="A3:C14"/>
  <sheetViews>
    <sheetView workbookViewId="0">
      <selection activeCell="C4" sqref="C4"/>
    </sheetView>
  </sheetViews>
  <sheetFormatPr defaultRowHeight="14.4" x14ac:dyDescent="0.3"/>
  <cols>
    <col min="1" max="1" width="14.44140625" bestFit="1" customWidth="1"/>
    <col min="2" max="2" width="14.109375" bestFit="1" customWidth="1"/>
    <col min="3" max="3" width="11.5546875" bestFit="1" customWidth="1"/>
  </cols>
  <sheetData>
    <row r="3" spans="1:3" x14ac:dyDescent="0.3">
      <c r="A3" s="3" t="s">
        <v>431</v>
      </c>
      <c r="B3" t="s">
        <v>437</v>
      </c>
      <c r="C3" t="s">
        <v>438</v>
      </c>
    </row>
    <row r="4" spans="1:3" x14ac:dyDescent="0.3">
      <c r="A4" s="4" t="s">
        <v>440</v>
      </c>
      <c r="B4" s="5">
        <v>12636</v>
      </c>
      <c r="C4" s="5">
        <v>8668.8000000000011</v>
      </c>
    </row>
    <row r="5" spans="1:3" x14ac:dyDescent="0.3">
      <c r="A5" s="4" t="s">
        <v>441</v>
      </c>
      <c r="B5" s="5">
        <v>5390</v>
      </c>
      <c r="C5" s="5">
        <v>3189.6</v>
      </c>
    </row>
    <row r="6" spans="1:3" x14ac:dyDescent="0.3">
      <c r="A6" s="4" t="s">
        <v>442</v>
      </c>
      <c r="B6" s="5">
        <v>19971</v>
      </c>
      <c r="C6" s="5">
        <v>14114.5</v>
      </c>
    </row>
    <row r="7" spans="1:3" x14ac:dyDescent="0.3">
      <c r="A7" s="4" t="s">
        <v>443</v>
      </c>
      <c r="B7" s="5">
        <v>35776</v>
      </c>
      <c r="C7" s="5">
        <v>24918</v>
      </c>
    </row>
    <row r="8" spans="1:3" x14ac:dyDescent="0.3">
      <c r="A8" s="4" t="s">
        <v>444</v>
      </c>
      <c r="B8" s="5">
        <v>6223.5</v>
      </c>
      <c r="C8" s="5">
        <v>4060.1</v>
      </c>
    </row>
    <row r="9" spans="1:3" x14ac:dyDescent="0.3">
      <c r="A9" s="4" t="s">
        <v>445</v>
      </c>
      <c r="B9" s="5">
        <v>72717.5</v>
      </c>
      <c r="C9" s="5">
        <v>55046.5</v>
      </c>
    </row>
    <row r="10" spans="1:3" x14ac:dyDescent="0.3">
      <c r="A10" s="4" t="s">
        <v>446</v>
      </c>
      <c r="B10" s="5">
        <v>14440</v>
      </c>
      <c r="C10" s="5">
        <v>10392</v>
      </c>
    </row>
    <row r="11" spans="1:3" x14ac:dyDescent="0.3">
      <c r="A11" s="4" t="s">
        <v>447</v>
      </c>
      <c r="B11" s="5">
        <v>18072</v>
      </c>
      <c r="C11" s="5">
        <v>11738</v>
      </c>
    </row>
    <row r="12" spans="1:3" x14ac:dyDescent="0.3">
      <c r="A12" s="4" t="s">
        <v>448</v>
      </c>
      <c r="B12" s="5">
        <v>57360</v>
      </c>
      <c r="C12" s="5">
        <v>45103</v>
      </c>
    </row>
    <row r="13" spans="1:3" x14ac:dyDescent="0.3">
      <c r="A13" s="4" t="s">
        <v>449</v>
      </c>
      <c r="B13" s="5">
        <v>21936</v>
      </c>
      <c r="C13" s="5">
        <v>16131.8</v>
      </c>
    </row>
    <row r="14" spans="1:3" x14ac:dyDescent="0.3">
      <c r="A14" s="4" t="s">
        <v>436</v>
      </c>
      <c r="B14" s="5">
        <v>264522</v>
      </c>
      <c r="C14" s="5">
        <v>193362.3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1B07-2DD9-45FC-90AB-7B36908B02E9}">
  <dimension ref="A3:C9"/>
  <sheetViews>
    <sheetView workbookViewId="0">
      <selection activeCell="C13" sqref="C13"/>
    </sheetView>
  </sheetViews>
  <sheetFormatPr defaultRowHeight="14.4" x14ac:dyDescent="0.3"/>
  <cols>
    <col min="1" max="1" width="12.44140625" bestFit="1" customWidth="1"/>
    <col min="2" max="2" width="14.109375" bestFit="1" customWidth="1"/>
    <col min="3" max="3" width="11.5546875" bestFit="1" customWidth="1"/>
  </cols>
  <sheetData>
    <row r="3" spans="1:3" x14ac:dyDescent="0.3">
      <c r="A3" s="3" t="s">
        <v>431</v>
      </c>
      <c r="B3" t="s">
        <v>437</v>
      </c>
      <c r="C3" t="s">
        <v>438</v>
      </c>
    </row>
    <row r="4" spans="1:3" x14ac:dyDescent="0.3">
      <c r="A4" s="4" t="s">
        <v>12</v>
      </c>
      <c r="B4" s="5">
        <v>44805</v>
      </c>
      <c r="C4" s="5">
        <v>32924.199999999997</v>
      </c>
    </row>
    <row r="5" spans="1:3" x14ac:dyDescent="0.3">
      <c r="A5" s="4" t="s">
        <v>16</v>
      </c>
      <c r="B5" s="5">
        <v>45560.5</v>
      </c>
      <c r="C5" s="5">
        <v>33020.799999999996</v>
      </c>
    </row>
    <row r="6" spans="1:3" x14ac:dyDescent="0.3">
      <c r="A6" s="4" t="s">
        <v>26</v>
      </c>
      <c r="B6" s="5">
        <v>44907</v>
      </c>
      <c r="C6" s="5">
        <v>32651.199999999993</v>
      </c>
    </row>
    <row r="7" spans="1:3" x14ac:dyDescent="0.3">
      <c r="A7" s="4" t="s">
        <v>53</v>
      </c>
      <c r="B7" s="5">
        <v>64291</v>
      </c>
      <c r="C7" s="5">
        <v>47548.600000000006</v>
      </c>
    </row>
    <row r="8" spans="1:3" x14ac:dyDescent="0.3">
      <c r="A8" s="4" t="s">
        <v>50</v>
      </c>
      <c r="B8" s="5">
        <v>64958.5</v>
      </c>
      <c r="C8" s="5">
        <v>47217.500000000007</v>
      </c>
    </row>
    <row r="9" spans="1:3" x14ac:dyDescent="0.3">
      <c r="A9" s="4" t="s">
        <v>436</v>
      </c>
      <c r="B9" s="5">
        <v>264522</v>
      </c>
      <c r="C9" s="5">
        <v>193362.3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2B9E-6043-4790-9B9E-7CDBFD87D309}">
  <dimension ref="A3:C7"/>
  <sheetViews>
    <sheetView workbookViewId="0">
      <selection activeCell="C4" sqref="C4"/>
    </sheetView>
  </sheetViews>
  <sheetFormatPr defaultRowHeight="14.4" x14ac:dyDescent="0.3"/>
  <cols>
    <col min="1" max="1" width="12.44140625" bestFit="1" customWidth="1"/>
    <col min="2" max="2" width="14.109375" bestFit="1" customWidth="1"/>
    <col min="3" max="3" width="11.5546875" bestFit="1" customWidth="1"/>
  </cols>
  <sheetData>
    <row r="3" spans="1:3" x14ac:dyDescent="0.3">
      <c r="A3" s="3" t="s">
        <v>431</v>
      </c>
      <c r="B3" t="s">
        <v>437</v>
      </c>
      <c r="C3" t="s">
        <v>438</v>
      </c>
    </row>
    <row r="4" spans="1:3" x14ac:dyDescent="0.3">
      <c r="A4" s="4" t="s">
        <v>451</v>
      </c>
      <c r="B4" s="5">
        <v>92413.5</v>
      </c>
      <c r="C4" s="5">
        <v>67118.600000000006</v>
      </c>
    </row>
    <row r="5" spans="1:3" x14ac:dyDescent="0.3">
      <c r="A5" s="4" t="s">
        <v>452</v>
      </c>
      <c r="B5" s="5">
        <v>98176</v>
      </c>
      <c r="C5" s="5">
        <v>72295.000000000029</v>
      </c>
    </row>
    <row r="6" spans="1:3" x14ac:dyDescent="0.3">
      <c r="A6" s="4" t="s">
        <v>453</v>
      </c>
      <c r="B6" s="5">
        <v>73932.5</v>
      </c>
      <c r="C6" s="5">
        <v>53948.700000000012</v>
      </c>
    </row>
    <row r="7" spans="1:3" x14ac:dyDescent="0.3">
      <c r="A7" s="4" t="s">
        <v>436</v>
      </c>
      <c r="B7" s="5">
        <v>264522</v>
      </c>
      <c r="C7" s="5">
        <v>193362.30000000005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5734-0B48-4F94-BD44-684988C46C13}">
  <dimension ref="A3:C8"/>
  <sheetViews>
    <sheetView workbookViewId="0">
      <selection activeCell="C6" sqref="C6"/>
    </sheetView>
  </sheetViews>
  <sheetFormatPr defaultRowHeight="14.4" x14ac:dyDescent="0.3"/>
  <cols>
    <col min="1" max="1" width="12.44140625" bestFit="1" customWidth="1"/>
    <col min="2" max="2" width="14.109375" bestFit="1" customWidth="1"/>
    <col min="3" max="3" width="11.5546875" bestFit="1" customWidth="1"/>
  </cols>
  <sheetData>
    <row r="3" spans="1:3" x14ac:dyDescent="0.3">
      <c r="A3" s="3" t="s">
        <v>431</v>
      </c>
      <c r="B3" t="s">
        <v>437</v>
      </c>
      <c r="C3" t="s">
        <v>438</v>
      </c>
    </row>
    <row r="4" spans="1:3" x14ac:dyDescent="0.3">
      <c r="A4" s="4" t="s">
        <v>13</v>
      </c>
      <c r="B4" s="5">
        <v>214893</v>
      </c>
      <c r="C4" s="5">
        <v>157399.59999999989</v>
      </c>
    </row>
    <row r="5" spans="1:3" x14ac:dyDescent="0.3">
      <c r="A5" s="4" t="s">
        <v>304</v>
      </c>
      <c r="B5" s="5">
        <v>240</v>
      </c>
      <c r="C5" s="5">
        <v>169.8</v>
      </c>
    </row>
    <row r="6" spans="1:3" x14ac:dyDescent="0.3">
      <c r="A6" s="4" t="s">
        <v>22</v>
      </c>
      <c r="B6" s="5">
        <v>43344</v>
      </c>
      <c r="C6" s="5">
        <v>31692.099999999995</v>
      </c>
    </row>
    <row r="7" spans="1:3" x14ac:dyDescent="0.3">
      <c r="A7" s="4" t="s">
        <v>62</v>
      </c>
      <c r="B7" s="5">
        <v>6045</v>
      </c>
      <c r="C7" s="5">
        <v>4100.8</v>
      </c>
    </row>
    <row r="8" spans="1:3" x14ac:dyDescent="0.3">
      <c r="A8" s="4" t="s">
        <v>436</v>
      </c>
      <c r="B8" s="5">
        <v>264522</v>
      </c>
      <c r="C8" s="5">
        <v>193362.29999999987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6AE9-A62E-4EE6-A20F-EFFDC901947F}">
  <dimension ref="A3:C16"/>
  <sheetViews>
    <sheetView tabSelected="1" workbookViewId="0">
      <selection activeCell="C4" sqref="C4"/>
    </sheetView>
  </sheetViews>
  <sheetFormatPr defaultRowHeight="14.4" x14ac:dyDescent="0.3"/>
  <cols>
    <col min="1" max="1" width="12.44140625" bestFit="1" customWidth="1"/>
    <col min="2" max="2" width="14.109375" bestFit="1" customWidth="1"/>
    <col min="3" max="3" width="11.5546875" bestFit="1" customWidth="1"/>
  </cols>
  <sheetData>
    <row r="3" spans="1:3" x14ac:dyDescent="0.3">
      <c r="A3" s="3" t="s">
        <v>431</v>
      </c>
      <c r="B3" t="s">
        <v>437</v>
      </c>
      <c r="C3" t="s">
        <v>438</v>
      </c>
    </row>
    <row r="4" spans="1:3" x14ac:dyDescent="0.3">
      <c r="A4" s="4" t="s">
        <v>455</v>
      </c>
      <c r="B4" s="5">
        <v>17776</v>
      </c>
      <c r="C4" s="5">
        <v>12731.900000000001</v>
      </c>
    </row>
    <row r="5" spans="1:3" x14ac:dyDescent="0.3">
      <c r="A5" s="4" t="s">
        <v>456</v>
      </c>
      <c r="B5" s="5">
        <v>22179.5</v>
      </c>
      <c r="C5" s="5">
        <v>15881.3</v>
      </c>
    </row>
    <row r="6" spans="1:3" x14ac:dyDescent="0.3">
      <c r="A6" s="4" t="s">
        <v>457</v>
      </c>
      <c r="B6" s="5">
        <v>26215</v>
      </c>
      <c r="C6" s="5">
        <v>19272.7</v>
      </c>
    </row>
    <row r="7" spans="1:3" x14ac:dyDescent="0.3">
      <c r="A7" s="4" t="s">
        <v>458</v>
      </c>
      <c r="B7" s="5">
        <v>31121</v>
      </c>
      <c r="C7" s="5">
        <v>23459.299999999996</v>
      </c>
    </row>
    <row r="8" spans="1:3" x14ac:dyDescent="0.3">
      <c r="A8" s="4" t="s">
        <v>459</v>
      </c>
      <c r="B8" s="5">
        <v>19084.5</v>
      </c>
      <c r="C8" s="5">
        <v>13770.000000000002</v>
      </c>
    </row>
    <row r="9" spans="1:3" x14ac:dyDescent="0.3">
      <c r="A9" s="4" t="s">
        <v>460</v>
      </c>
      <c r="B9" s="5">
        <v>30996.5</v>
      </c>
      <c r="C9" s="5">
        <v>22452.199999999997</v>
      </c>
    </row>
    <row r="10" spans="1:3" x14ac:dyDescent="0.3">
      <c r="A10" s="4" t="s">
        <v>461</v>
      </c>
      <c r="B10" s="5">
        <v>24259</v>
      </c>
      <c r="C10" s="5">
        <v>17674.599999999999</v>
      </c>
    </row>
    <row r="11" spans="1:3" x14ac:dyDescent="0.3">
      <c r="A11" s="4" t="s">
        <v>462</v>
      </c>
      <c r="B11" s="5">
        <v>20605</v>
      </c>
      <c r="C11" s="5">
        <v>15123.4</v>
      </c>
    </row>
    <row r="12" spans="1:3" x14ac:dyDescent="0.3">
      <c r="A12" s="4" t="s">
        <v>463</v>
      </c>
      <c r="B12" s="5">
        <v>16728.5</v>
      </c>
      <c r="C12" s="5">
        <v>12257.6</v>
      </c>
    </row>
    <row r="13" spans="1:3" x14ac:dyDescent="0.3">
      <c r="A13" s="4" t="s">
        <v>464</v>
      </c>
      <c r="B13" s="5">
        <v>13435</v>
      </c>
      <c r="C13" s="5">
        <v>9671.6</v>
      </c>
    </row>
    <row r="14" spans="1:3" x14ac:dyDescent="0.3">
      <c r="A14" s="4" t="s">
        <v>465</v>
      </c>
      <c r="B14" s="5">
        <v>18751</v>
      </c>
      <c r="C14" s="5">
        <v>13705.8</v>
      </c>
    </row>
    <row r="15" spans="1:3" x14ac:dyDescent="0.3">
      <c r="A15" s="4" t="s">
        <v>466</v>
      </c>
      <c r="B15" s="5">
        <v>23371</v>
      </c>
      <c r="C15" s="5">
        <v>17361.899999999998</v>
      </c>
    </row>
    <row r="16" spans="1:3" x14ac:dyDescent="0.3">
      <c r="A16" s="4" t="s">
        <v>436</v>
      </c>
      <c r="B16" s="5">
        <v>264522</v>
      </c>
      <c r="C16" s="5">
        <v>193362.3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384A-88CA-42BB-ACB1-A6C8DD85F7C7}">
  <dimension ref="A1:Q321"/>
  <sheetViews>
    <sheetView workbookViewId="0">
      <selection activeCell="N9" sqref="N9"/>
    </sheetView>
  </sheetViews>
  <sheetFormatPr defaultRowHeight="14.4" x14ac:dyDescent="0.3"/>
  <cols>
    <col min="2" max="2" width="10.33203125" bestFit="1" customWidth="1"/>
    <col min="3" max="3" width="11.33203125" bestFit="1" customWidth="1"/>
    <col min="4" max="4" width="9.77734375" bestFit="1" customWidth="1"/>
    <col min="5" max="5" width="9.21875" bestFit="1" customWidth="1"/>
    <col min="7" max="7" width="12.5546875" bestFit="1" customWidth="1"/>
    <col min="8" max="8" width="13.88671875" bestFit="1" customWidth="1"/>
    <col min="9" max="9" width="12.21875" bestFit="1" customWidth="1"/>
    <col min="10" max="10" width="9.21875" bestFit="1" customWidth="1"/>
    <col min="15" max="15" width="13.109375" bestFit="1" customWidth="1"/>
    <col min="16" max="16" width="16.77734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426</v>
      </c>
      <c r="K1" s="1" t="s">
        <v>427</v>
      </c>
      <c r="L1" s="1" t="s">
        <v>428</v>
      </c>
      <c r="M1" s="1" t="s">
        <v>429</v>
      </c>
      <c r="N1" s="1" t="s">
        <v>430</v>
      </c>
      <c r="O1" s="1" t="s">
        <v>439</v>
      </c>
      <c r="P1" s="1" t="s">
        <v>450</v>
      </c>
      <c r="Q1" s="1" t="s">
        <v>454</v>
      </c>
    </row>
    <row r="2" spans="1:17" x14ac:dyDescent="0.3">
      <c r="A2" s="1" t="s">
        <v>9</v>
      </c>
      <c r="B2" s="2">
        <v>45988</v>
      </c>
      <c r="C2" s="1" t="s">
        <v>10</v>
      </c>
      <c r="D2" s="1" t="s">
        <v>11</v>
      </c>
      <c r="E2" s="1" t="s">
        <v>12</v>
      </c>
      <c r="F2" s="1">
        <v>3</v>
      </c>
      <c r="G2" s="1">
        <v>0</v>
      </c>
      <c r="H2" s="1" t="s">
        <v>13</v>
      </c>
      <c r="I2" s="1">
        <v>15</v>
      </c>
      <c r="J2">
        <f>_xlfn.XLOOKUP(D2,[1]products!$A$2:$A$11,[1]products!$D$2:$D$11,"Not Found")</f>
        <v>180</v>
      </c>
      <c r="K2">
        <f>F2*J2*(1-G2 )</f>
        <v>540</v>
      </c>
      <c r="L2">
        <f>_xlfn.XLOOKUP(D2,[1]products!$A$2:$A$11,[1]products!$E$2:$E$11,"Not Found")</f>
        <v>54</v>
      </c>
      <c r="M2">
        <f>K2-(F2*L2)-I2</f>
        <v>363</v>
      </c>
      <c r="N2" t="str">
        <f>_xlfn.XLOOKUP(C2,[2]customers!$A$2:$A$81,[2]customers!$C$2:$C$81,"Not Found")</f>
        <v>West</v>
      </c>
      <c r="O2" t="str">
        <f>_xlfn.XLOOKUP(D2,[1]products!$A$2:$A$11,[1]products!$C$2:$C$11,"Not Found")</f>
        <v>Office Chair</v>
      </c>
      <c r="P2" t="str">
        <f>_xlfn.XLOOKUP(C2,[2]customers!$A$2:$A$81,[2]customers!$E$2:$E$81,"Not Found")</f>
        <v>Corporate</v>
      </c>
      <c r="Q2" t="str">
        <f>TEXT(B2,"mmmm")</f>
        <v>November</v>
      </c>
    </row>
    <row r="3" spans="1:17" x14ac:dyDescent="0.3">
      <c r="A3" s="1" t="s">
        <v>14</v>
      </c>
      <c r="B3" s="2">
        <v>45946</v>
      </c>
      <c r="C3" s="1" t="s">
        <v>10</v>
      </c>
      <c r="D3" s="1" t="s">
        <v>15</v>
      </c>
      <c r="E3" s="1" t="s">
        <v>16</v>
      </c>
      <c r="F3" s="1">
        <v>1</v>
      </c>
      <c r="G3" s="1">
        <v>0.1</v>
      </c>
      <c r="H3" s="1" t="s">
        <v>13</v>
      </c>
      <c r="I3" s="1">
        <v>8</v>
      </c>
      <c r="J3">
        <f>_xlfn.XLOOKUP(D3,[1]products!$A$2:$A$11,[1]products!$D$2:$D$11,"Not Found")</f>
        <v>600</v>
      </c>
      <c r="K3">
        <f t="shared" ref="K3:K66" si="0">F3*J3*(1-G3 )</f>
        <v>540</v>
      </c>
      <c r="L3">
        <f>_xlfn.XLOOKUP(D3,[1]products!$A$2:$A$11,[1]products!$E$2:$E$11,"Not Found")</f>
        <v>120</v>
      </c>
      <c r="M3">
        <f t="shared" ref="M3:M66" si="1">K3-(F3*L3)-I3</f>
        <v>412</v>
      </c>
      <c r="N3" t="str">
        <f>_xlfn.XLOOKUP(C3,[2]customers!$A$2:$A$81,[2]customers!$C$2:$C$81,"Not Found")</f>
        <v>West</v>
      </c>
      <c r="O3" t="str">
        <f>_xlfn.XLOOKUP(D3,[1]products!$A$2:$A$11,[1]products!$C$2:$C$11,"Not Found")</f>
        <v>Smartphone</v>
      </c>
      <c r="P3" t="str">
        <f>_xlfn.XLOOKUP(C3,[2]customers!$A$2:$A$81,[2]customers!$E$2:$E$81,"Not Found")</f>
        <v>Corporate</v>
      </c>
      <c r="Q3" t="str">
        <f t="shared" ref="Q3:Q66" si="2">TEXT(B3,"mmmm")</f>
        <v>October</v>
      </c>
    </row>
    <row r="4" spans="1:17" x14ac:dyDescent="0.3">
      <c r="A4" s="1" t="s">
        <v>17</v>
      </c>
      <c r="B4" s="2">
        <v>45836</v>
      </c>
      <c r="C4" s="1" t="s">
        <v>18</v>
      </c>
      <c r="D4" s="1" t="s">
        <v>11</v>
      </c>
      <c r="E4" s="1" t="s">
        <v>16</v>
      </c>
      <c r="F4" s="1">
        <v>5</v>
      </c>
      <c r="G4" s="1">
        <v>0.05</v>
      </c>
      <c r="H4" s="1" t="s">
        <v>13</v>
      </c>
      <c r="I4" s="1">
        <v>10</v>
      </c>
      <c r="J4">
        <f>_xlfn.XLOOKUP(D4,[1]products!$A$2:$A$11,[1]products!$D$2:$D$11,"Not Found")</f>
        <v>180</v>
      </c>
      <c r="K4">
        <f t="shared" si="0"/>
        <v>855</v>
      </c>
      <c r="L4">
        <f>_xlfn.XLOOKUP(D4,[1]products!$A$2:$A$11,[1]products!$E$2:$E$11,"Not Found")</f>
        <v>54</v>
      </c>
      <c r="M4">
        <f t="shared" si="1"/>
        <v>575</v>
      </c>
      <c r="N4" t="str">
        <f>_xlfn.XLOOKUP(C4,[2]customers!$A$2:$A$81,[2]customers!$C$2:$C$81,"Not Found")</f>
        <v>West</v>
      </c>
      <c r="O4" t="str">
        <f>_xlfn.XLOOKUP(D4,[1]products!$A$2:$A$11,[1]products!$C$2:$C$11,"Not Found")</f>
        <v>Office Chair</v>
      </c>
      <c r="P4" t="str">
        <f>_xlfn.XLOOKUP(C4,[2]customers!$A$2:$A$81,[2]customers!$E$2:$E$81,"Not Found")</f>
        <v>Corporate</v>
      </c>
      <c r="Q4" t="str">
        <f t="shared" si="2"/>
        <v>June</v>
      </c>
    </row>
    <row r="5" spans="1:17" x14ac:dyDescent="0.3">
      <c r="A5" s="1" t="s">
        <v>19</v>
      </c>
      <c r="B5" s="2">
        <v>46018</v>
      </c>
      <c r="C5" s="1" t="s">
        <v>20</v>
      </c>
      <c r="D5" s="1" t="s">
        <v>21</v>
      </c>
      <c r="E5" s="1" t="s">
        <v>12</v>
      </c>
      <c r="F5" s="1">
        <v>2</v>
      </c>
      <c r="G5" s="1">
        <v>0.1</v>
      </c>
      <c r="H5" s="1" t="s">
        <v>22</v>
      </c>
      <c r="I5" s="1">
        <v>18</v>
      </c>
      <c r="J5">
        <f>_xlfn.XLOOKUP(D5,[1]products!$A$2:$A$11,[1]products!$D$2:$D$11,"Not Found")</f>
        <v>320</v>
      </c>
      <c r="K5">
        <f t="shared" si="0"/>
        <v>576</v>
      </c>
      <c r="L5">
        <f>_xlfn.XLOOKUP(D5,[1]products!$A$2:$A$11,[1]products!$E$2:$E$11,"Not Found")</f>
        <v>86.4</v>
      </c>
      <c r="M5">
        <f t="shared" si="1"/>
        <v>385.2</v>
      </c>
      <c r="N5" t="str">
        <f>_xlfn.XLOOKUP(C5,[2]customers!$A$2:$A$81,[2]customers!$C$2:$C$81,"Not Found")</f>
        <v>East</v>
      </c>
      <c r="O5" t="str">
        <f>_xlfn.XLOOKUP(D5,[1]products!$A$2:$A$11,[1]products!$C$2:$C$11,"Not Found")</f>
        <v>Desk</v>
      </c>
      <c r="P5" t="str">
        <f>_xlfn.XLOOKUP(C5,[2]customers!$A$2:$A$81,[2]customers!$E$2:$E$81,"Not Found")</f>
        <v>Home Office</v>
      </c>
      <c r="Q5" t="str">
        <f t="shared" si="2"/>
        <v>December</v>
      </c>
    </row>
    <row r="6" spans="1:17" x14ac:dyDescent="0.3">
      <c r="A6" s="1" t="s">
        <v>23</v>
      </c>
      <c r="B6" s="2">
        <v>45711</v>
      </c>
      <c r="C6" s="1" t="s">
        <v>24</v>
      </c>
      <c r="D6" s="1" t="s">
        <v>25</v>
      </c>
      <c r="E6" s="1" t="s">
        <v>26</v>
      </c>
      <c r="F6" s="1">
        <v>5</v>
      </c>
      <c r="G6" s="1">
        <v>0.05</v>
      </c>
      <c r="H6" s="1" t="s">
        <v>22</v>
      </c>
      <c r="I6" s="1">
        <v>12</v>
      </c>
      <c r="J6">
        <f>_xlfn.XLOOKUP(D6,[1]products!$A$2:$A$11,[1]products!$D$2:$D$11,"Not Found")</f>
        <v>850</v>
      </c>
      <c r="K6">
        <f t="shared" si="0"/>
        <v>4037.5</v>
      </c>
      <c r="L6">
        <f>_xlfn.XLOOKUP(D6,[1]products!$A$2:$A$11,[1]products!$E$2:$E$11,"Not Found")</f>
        <v>187</v>
      </c>
      <c r="M6">
        <f t="shared" si="1"/>
        <v>3090.5</v>
      </c>
      <c r="N6" t="str">
        <f>_xlfn.XLOOKUP(C6,[2]customers!$A$2:$A$81,[2]customers!$C$2:$C$81,"Not Found")</f>
        <v>North</v>
      </c>
      <c r="O6" t="str">
        <f>_xlfn.XLOOKUP(D6,[1]products!$A$2:$A$11,[1]products!$C$2:$C$11,"Not Found")</f>
        <v>Laptop</v>
      </c>
      <c r="P6" t="str">
        <f>_xlfn.XLOOKUP(C6,[2]customers!$A$2:$A$81,[2]customers!$E$2:$E$81,"Not Found")</f>
        <v>Consumer</v>
      </c>
      <c r="Q6" t="str">
        <f t="shared" si="2"/>
        <v>February</v>
      </c>
    </row>
    <row r="7" spans="1:17" x14ac:dyDescent="0.3">
      <c r="A7" s="1" t="s">
        <v>27</v>
      </c>
      <c r="B7" s="2">
        <v>45967</v>
      </c>
      <c r="C7" s="1" t="s">
        <v>28</v>
      </c>
      <c r="D7" s="1" t="s">
        <v>15</v>
      </c>
      <c r="E7" s="1" t="s">
        <v>26</v>
      </c>
      <c r="F7" s="1">
        <v>5</v>
      </c>
      <c r="G7" s="1">
        <v>0</v>
      </c>
      <c r="H7" s="1" t="s">
        <v>13</v>
      </c>
      <c r="I7" s="1">
        <v>20</v>
      </c>
      <c r="J7">
        <f>_xlfn.XLOOKUP(D7,[1]products!$A$2:$A$11,[1]products!$D$2:$D$11,"Not Found")</f>
        <v>600</v>
      </c>
      <c r="K7">
        <f t="shared" si="0"/>
        <v>3000</v>
      </c>
      <c r="L7">
        <f>_xlfn.XLOOKUP(D7,[1]products!$A$2:$A$11,[1]products!$E$2:$E$11,"Not Found")</f>
        <v>120</v>
      </c>
      <c r="M7">
        <f t="shared" si="1"/>
        <v>2380</v>
      </c>
      <c r="N7" t="str">
        <f>_xlfn.XLOOKUP(C7,[2]customers!$A$2:$A$81,[2]customers!$C$2:$C$81,"Not Found")</f>
        <v>South</v>
      </c>
      <c r="O7" t="str">
        <f>_xlfn.XLOOKUP(D7,[1]products!$A$2:$A$11,[1]products!$C$2:$C$11,"Not Found")</f>
        <v>Smartphone</v>
      </c>
      <c r="P7" t="str">
        <f>_xlfn.XLOOKUP(C7,[2]customers!$A$2:$A$81,[2]customers!$E$2:$E$81,"Not Found")</f>
        <v>Consumer</v>
      </c>
      <c r="Q7" t="str">
        <f t="shared" si="2"/>
        <v>November</v>
      </c>
    </row>
    <row r="8" spans="1:17" x14ac:dyDescent="0.3">
      <c r="A8" s="1" t="s">
        <v>29</v>
      </c>
      <c r="B8" s="2">
        <v>45684</v>
      </c>
      <c r="C8" s="1" t="s">
        <v>30</v>
      </c>
      <c r="D8" s="1" t="s">
        <v>11</v>
      </c>
      <c r="E8" s="1" t="s">
        <v>16</v>
      </c>
      <c r="F8" s="1">
        <v>3</v>
      </c>
      <c r="G8" s="1">
        <v>0.15</v>
      </c>
      <c r="H8" s="1" t="s">
        <v>13</v>
      </c>
      <c r="I8" s="1">
        <v>20</v>
      </c>
      <c r="J8">
        <f>_xlfn.XLOOKUP(D8,[1]products!$A$2:$A$11,[1]products!$D$2:$D$11,"Not Found")</f>
        <v>180</v>
      </c>
      <c r="K8">
        <f t="shared" si="0"/>
        <v>459</v>
      </c>
      <c r="L8">
        <f>_xlfn.XLOOKUP(D8,[1]products!$A$2:$A$11,[1]products!$E$2:$E$11,"Not Found")</f>
        <v>54</v>
      </c>
      <c r="M8">
        <f t="shared" si="1"/>
        <v>277</v>
      </c>
      <c r="N8" t="str">
        <f>_xlfn.XLOOKUP(C8,[2]customers!$A$2:$A$81,[2]customers!$C$2:$C$81,"Not Found")</f>
        <v>West</v>
      </c>
      <c r="O8" t="str">
        <f>_xlfn.XLOOKUP(D8,[1]products!$A$2:$A$11,[1]products!$C$2:$C$11,"Not Found")</f>
        <v>Office Chair</v>
      </c>
      <c r="P8" t="str">
        <f>_xlfn.XLOOKUP(C8,[2]customers!$A$2:$A$81,[2]customers!$E$2:$E$81,"Not Found")</f>
        <v>Home Office</v>
      </c>
      <c r="Q8" t="str">
        <f t="shared" si="2"/>
        <v>January</v>
      </c>
    </row>
    <row r="9" spans="1:17" x14ac:dyDescent="0.3">
      <c r="A9" s="1" t="s">
        <v>31</v>
      </c>
      <c r="B9" s="2">
        <v>45724</v>
      </c>
      <c r="C9" s="1" t="s">
        <v>32</v>
      </c>
      <c r="D9" s="1" t="s">
        <v>21</v>
      </c>
      <c r="E9" s="1" t="s">
        <v>12</v>
      </c>
      <c r="F9" s="1">
        <v>1</v>
      </c>
      <c r="G9" s="1">
        <v>0</v>
      </c>
      <c r="H9" s="1" t="s">
        <v>13</v>
      </c>
      <c r="I9" s="1">
        <v>10</v>
      </c>
      <c r="J9">
        <f>_xlfn.XLOOKUP(D9,[1]products!$A$2:$A$11,[1]products!$D$2:$D$11,"Not Found")</f>
        <v>320</v>
      </c>
      <c r="K9">
        <f t="shared" si="0"/>
        <v>320</v>
      </c>
      <c r="L9">
        <f>_xlfn.XLOOKUP(D9,[1]products!$A$2:$A$11,[1]products!$E$2:$E$11,"Not Found")</f>
        <v>86.4</v>
      </c>
      <c r="M9">
        <f t="shared" si="1"/>
        <v>223.6</v>
      </c>
      <c r="N9" t="str">
        <f>_xlfn.XLOOKUP(C9,[2]customers!$A$2:$A$81,[2]customers!$C$2:$C$81,"Not Found")</f>
        <v>West</v>
      </c>
      <c r="O9" t="str">
        <f>_xlfn.XLOOKUP(D9,[1]products!$A$2:$A$11,[1]products!$C$2:$C$11,"Not Found")</f>
        <v>Desk</v>
      </c>
      <c r="P9" t="str">
        <f>_xlfn.XLOOKUP(C9,[2]customers!$A$2:$A$81,[2]customers!$E$2:$E$81,"Not Found")</f>
        <v>Consumer</v>
      </c>
      <c r="Q9" t="str">
        <f t="shared" si="2"/>
        <v>March</v>
      </c>
    </row>
    <row r="10" spans="1:17" x14ac:dyDescent="0.3">
      <c r="A10" s="1" t="s">
        <v>33</v>
      </c>
      <c r="B10" s="2">
        <v>45696</v>
      </c>
      <c r="C10" s="1" t="s">
        <v>34</v>
      </c>
      <c r="D10" s="1" t="s">
        <v>35</v>
      </c>
      <c r="E10" s="1" t="s">
        <v>26</v>
      </c>
      <c r="F10" s="1">
        <v>4</v>
      </c>
      <c r="G10" s="1">
        <v>0.15</v>
      </c>
      <c r="H10" s="1" t="s">
        <v>13</v>
      </c>
      <c r="I10" s="1">
        <v>18</v>
      </c>
      <c r="J10">
        <f>_xlfn.XLOOKUP(D10,[1]products!$A$2:$A$11,[1]products!$D$2:$D$11,"Not Found")</f>
        <v>130</v>
      </c>
      <c r="K10">
        <f t="shared" si="0"/>
        <v>442</v>
      </c>
      <c r="L10">
        <f>_xlfn.XLOOKUP(D10,[1]products!$A$2:$A$11,[1]products!$E$2:$E$11,"Not Found")</f>
        <v>33.799999999999997</v>
      </c>
      <c r="M10">
        <f t="shared" si="1"/>
        <v>288.8</v>
      </c>
      <c r="N10" t="str">
        <f>_xlfn.XLOOKUP(C10,[2]customers!$A$2:$A$81,[2]customers!$C$2:$C$81,"Not Found")</f>
        <v>North</v>
      </c>
      <c r="O10" t="str">
        <f>_xlfn.XLOOKUP(D10,[1]products!$A$2:$A$11,[1]products!$C$2:$C$11,"Not Found")</f>
        <v>Air Fryer</v>
      </c>
      <c r="P10" t="str">
        <f>_xlfn.XLOOKUP(C10,[2]customers!$A$2:$A$81,[2]customers!$E$2:$E$81,"Not Found")</f>
        <v>Corporate</v>
      </c>
      <c r="Q10" t="str">
        <f t="shared" si="2"/>
        <v>February</v>
      </c>
    </row>
    <row r="11" spans="1:17" x14ac:dyDescent="0.3">
      <c r="A11" s="1" t="s">
        <v>36</v>
      </c>
      <c r="B11" s="2">
        <v>45723</v>
      </c>
      <c r="C11" s="1" t="s">
        <v>37</v>
      </c>
      <c r="D11" s="1" t="s">
        <v>38</v>
      </c>
      <c r="E11" s="1" t="s">
        <v>16</v>
      </c>
      <c r="F11" s="1">
        <v>5</v>
      </c>
      <c r="G11" s="1">
        <v>0.15</v>
      </c>
      <c r="H11" s="1" t="s">
        <v>13</v>
      </c>
      <c r="I11" s="1">
        <v>12</v>
      </c>
      <c r="J11">
        <f>_xlfn.XLOOKUP(D11,[1]products!$A$2:$A$11,[1]products!$D$2:$D$11,"Not Found")</f>
        <v>210</v>
      </c>
      <c r="K11">
        <f t="shared" si="0"/>
        <v>892.5</v>
      </c>
      <c r="L11">
        <f>_xlfn.XLOOKUP(D11,[1]products!$A$2:$A$11,[1]products!$E$2:$E$11,"Not Found")</f>
        <v>52.5</v>
      </c>
      <c r="M11">
        <f t="shared" si="1"/>
        <v>618</v>
      </c>
      <c r="N11" t="str">
        <f>_xlfn.XLOOKUP(C11,[2]customers!$A$2:$A$81,[2]customers!$C$2:$C$81,"Not Found")</f>
        <v>West</v>
      </c>
      <c r="O11" t="str">
        <f>_xlfn.XLOOKUP(D11,[1]products!$A$2:$A$11,[1]products!$C$2:$C$11,"Not Found")</f>
        <v>Bookshelf</v>
      </c>
      <c r="P11" t="str">
        <f>_xlfn.XLOOKUP(C11,[2]customers!$A$2:$A$81,[2]customers!$E$2:$E$81,"Not Found")</f>
        <v>Consumer</v>
      </c>
      <c r="Q11" t="str">
        <f t="shared" si="2"/>
        <v>March</v>
      </c>
    </row>
    <row r="12" spans="1:17" x14ac:dyDescent="0.3">
      <c r="A12" s="1" t="s">
        <v>39</v>
      </c>
      <c r="B12" s="2">
        <v>45999</v>
      </c>
      <c r="C12" s="1" t="s">
        <v>40</v>
      </c>
      <c r="D12" s="1" t="s">
        <v>25</v>
      </c>
      <c r="E12" s="1" t="s">
        <v>16</v>
      </c>
      <c r="F12" s="1">
        <v>3</v>
      </c>
      <c r="G12" s="1">
        <v>0</v>
      </c>
      <c r="H12" s="1" t="s">
        <v>13</v>
      </c>
      <c r="I12" s="1">
        <v>12</v>
      </c>
      <c r="J12">
        <f>_xlfn.XLOOKUP(D12,[1]products!$A$2:$A$11,[1]products!$D$2:$D$11,"Not Found")</f>
        <v>850</v>
      </c>
      <c r="K12">
        <f t="shared" si="0"/>
        <v>2550</v>
      </c>
      <c r="L12">
        <f>_xlfn.XLOOKUP(D12,[1]products!$A$2:$A$11,[1]products!$E$2:$E$11,"Not Found")</f>
        <v>187</v>
      </c>
      <c r="M12">
        <f t="shared" si="1"/>
        <v>1977</v>
      </c>
      <c r="N12" t="str">
        <f>_xlfn.XLOOKUP(C12,[2]customers!$A$2:$A$81,[2]customers!$C$2:$C$81,"Not Found")</f>
        <v>North</v>
      </c>
      <c r="O12" t="str">
        <f>_xlfn.XLOOKUP(D12,[1]products!$A$2:$A$11,[1]products!$C$2:$C$11,"Not Found")</f>
        <v>Laptop</v>
      </c>
      <c r="P12" t="str">
        <f>_xlfn.XLOOKUP(C12,[2]customers!$A$2:$A$81,[2]customers!$E$2:$E$81,"Not Found")</f>
        <v>Home Office</v>
      </c>
      <c r="Q12" t="str">
        <f t="shared" si="2"/>
        <v>December</v>
      </c>
    </row>
    <row r="13" spans="1:17" x14ac:dyDescent="0.3">
      <c r="A13" s="1" t="s">
        <v>41</v>
      </c>
      <c r="B13" s="2">
        <v>45779</v>
      </c>
      <c r="C13" s="1" t="s">
        <v>42</v>
      </c>
      <c r="D13" s="1" t="s">
        <v>43</v>
      </c>
      <c r="E13" s="1" t="s">
        <v>26</v>
      </c>
      <c r="F13" s="1">
        <v>5</v>
      </c>
      <c r="G13" s="1">
        <v>0</v>
      </c>
      <c r="H13" s="1" t="s">
        <v>22</v>
      </c>
      <c r="I13" s="1">
        <v>10</v>
      </c>
      <c r="J13">
        <f>_xlfn.XLOOKUP(D13,[1]products!$A$2:$A$11,[1]products!$D$2:$D$11,"Not Found")</f>
        <v>160</v>
      </c>
      <c r="K13">
        <f t="shared" si="0"/>
        <v>800</v>
      </c>
      <c r="L13">
        <f>_xlfn.XLOOKUP(D13,[1]products!$A$2:$A$11,[1]products!$E$2:$E$11,"Not Found")</f>
        <v>38.4</v>
      </c>
      <c r="M13">
        <f t="shared" si="1"/>
        <v>598</v>
      </c>
      <c r="N13" t="str">
        <f>_xlfn.XLOOKUP(C13,[2]customers!$A$2:$A$81,[2]customers!$C$2:$C$81,"Not Found")</f>
        <v>South</v>
      </c>
      <c r="O13" t="str">
        <f>_xlfn.XLOOKUP(D13,[1]products!$A$2:$A$11,[1]products!$C$2:$C$11,"Not Found")</f>
        <v>Microwave</v>
      </c>
      <c r="P13" t="str">
        <f>_xlfn.XLOOKUP(C13,[2]customers!$A$2:$A$81,[2]customers!$E$2:$E$81,"Not Found")</f>
        <v>Home Office</v>
      </c>
      <c r="Q13" t="str">
        <f t="shared" si="2"/>
        <v>May</v>
      </c>
    </row>
    <row r="14" spans="1:17" x14ac:dyDescent="0.3">
      <c r="A14" s="1" t="s">
        <v>44</v>
      </c>
      <c r="B14" s="2">
        <v>45868</v>
      </c>
      <c r="C14" s="1" t="s">
        <v>45</v>
      </c>
      <c r="D14" s="1" t="s">
        <v>25</v>
      </c>
      <c r="E14" s="1" t="s">
        <v>26</v>
      </c>
      <c r="F14" s="1">
        <v>2</v>
      </c>
      <c r="G14" s="1">
        <v>0.05</v>
      </c>
      <c r="H14" s="1" t="s">
        <v>22</v>
      </c>
      <c r="I14" s="1">
        <v>12</v>
      </c>
      <c r="J14">
        <f>_xlfn.XLOOKUP(D14,[1]products!$A$2:$A$11,[1]products!$D$2:$D$11,"Not Found")</f>
        <v>850</v>
      </c>
      <c r="K14">
        <f t="shared" si="0"/>
        <v>1615</v>
      </c>
      <c r="L14">
        <f>_xlfn.XLOOKUP(D14,[1]products!$A$2:$A$11,[1]products!$E$2:$E$11,"Not Found")</f>
        <v>187</v>
      </c>
      <c r="M14">
        <f t="shared" si="1"/>
        <v>1229</v>
      </c>
      <c r="N14" t="str">
        <f>_xlfn.XLOOKUP(C14,[2]customers!$A$2:$A$81,[2]customers!$C$2:$C$81,"Not Found")</f>
        <v>West</v>
      </c>
      <c r="O14" t="str">
        <f>_xlfn.XLOOKUP(D14,[1]products!$A$2:$A$11,[1]products!$C$2:$C$11,"Not Found")</f>
        <v>Laptop</v>
      </c>
      <c r="P14" t="str">
        <f>_xlfn.XLOOKUP(C14,[2]customers!$A$2:$A$81,[2]customers!$E$2:$E$81,"Not Found")</f>
        <v>Home Office</v>
      </c>
      <c r="Q14" t="str">
        <f t="shared" si="2"/>
        <v>July</v>
      </c>
    </row>
    <row r="15" spans="1:17" x14ac:dyDescent="0.3">
      <c r="A15" s="1" t="s">
        <v>46</v>
      </c>
      <c r="B15" s="2">
        <v>45771</v>
      </c>
      <c r="C15" s="1" t="s">
        <v>47</v>
      </c>
      <c r="D15" s="1" t="s">
        <v>15</v>
      </c>
      <c r="E15" s="1" t="s">
        <v>26</v>
      </c>
      <c r="F15" s="1">
        <v>4</v>
      </c>
      <c r="G15" s="1">
        <v>0</v>
      </c>
      <c r="H15" s="1" t="s">
        <v>22</v>
      </c>
      <c r="I15" s="1">
        <v>15</v>
      </c>
      <c r="J15">
        <f>_xlfn.XLOOKUP(D15,[1]products!$A$2:$A$11,[1]products!$D$2:$D$11,"Not Found")</f>
        <v>600</v>
      </c>
      <c r="K15">
        <f t="shared" si="0"/>
        <v>2400</v>
      </c>
      <c r="L15">
        <f>_xlfn.XLOOKUP(D15,[1]products!$A$2:$A$11,[1]products!$E$2:$E$11,"Not Found")</f>
        <v>120</v>
      </c>
      <c r="M15">
        <f t="shared" si="1"/>
        <v>1905</v>
      </c>
      <c r="N15" t="str">
        <f>_xlfn.XLOOKUP(C15,[2]customers!$A$2:$A$81,[2]customers!$C$2:$C$81,"Not Found")</f>
        <v>East</v>
      </c>
      <c r="O15" t="str">
        <f>_xlfn.XLOOKUP(D15,[1]products!$A$2:$A$11,[1]products!$C$2:$C$11,"Not Found")</f>
        <v>Smartphone</v>
      </c>
      <c r="P15" t="str">
        <f>_xlfn.XLOOKUP(C15,[2]customers!$A$2:$A$81,[2]customers!$E$2:$E$81,"Not Found")</f>
        <v>Home Office</v>
      </c>
      <c r="Q15" t="str">
        <f t="shared" si="2"/>
        <v>April</v>
      </c>
    </row>
    <row r="16" spans="1:17" x14ac:dyDescent="0.3">
      <c r="A16" s="1" t="s">
        <v>48</v>
      </c>
      <c r="B16" s="2">
        <v>45756</v>
      </c>
      <c r="C16" s="1" t="s">
        <v>49</v>
      </c>
      <c r="D16" s="1" t="s">
        <v>21</v>
      </c>
      <c r="E16" s="1" t="s">
        <v>50</v>
      </c>
      <c r="F16" s="1">
        <v>2</v>
      </c>
      <c r="G16" s="1">
        <v>0</v>
      </c>
      <c r="H16" s="1" t="s">
        <v>13</v>
      </c>
      <c r="I16" s="1">
        <v>12</v>
      </c>
      <c r="J16">
        <f>_xlfn.XLOOKUP(D16,[1]products!$A$2:$A$11,[1]products!$D$2:$D$11,"Not Found")</f>
        <v>320</v>
      </c>
      <c r="K16">
        <f t="shared" si="0"/>
        <v>640</v>
      </c>
      <c r="L16">
        <f>_xlfn.XLOOKUP(D16,[1]products!$A$2:$A$11,[1]products!$E$2:$E$11,"Not Found")</f>
        <v>86.4</v>
      </c>
      <c r="M16">
        <f t="shared" si="1"/>
        <v>455.2</v>
      </c>
      <c r="N16" t="str">
        <f>_xlfn.XLOOKUP(C16,[2]customers!$A$2:$A$81,[2]customers!$C$2:$C$81,"Not Found")</f>
        <v>West</v>
      </c>
      <c r="O16" t="str">
        <f>_xlfn.XLOOKUP(D16,[1]products!$A$2:$A$11,[1]products!$C$2:$C$11,"Not Found")</f>
        <v>Desk</v>
      </c>
      <c r="P16" t="str">
        <f>_xlfn.XLOOKUP(C16,[2]customers!$A$2:$A$81,[2]customers!$E$2:$E$81,"Not Found")</f>
        <v>Consumer</v>
      </c>
      <c r="Q16" t="str">
        <f t="shared" si="2"/>
        <v>April</v>
      </c>
    </row>
    <row r="17" spans="1:17" x14ac:dyDescent="0.3">
      <c r="A17" s="1" t="s">
        <v>51</v>
      </c>
      <c r="B17" s="2">
        <v>45862</v>
      </c>
      <c r="C17" s="1" t="s">
        <v>52</v>
      </c>
      <c r="D17" s="1" t="s">
        <v>15</v>
      </c>
      <c r="E17" s="1" t="s">
        <v>53</v>
      </c>
      <c r="F17" s="1">
        <v>3</v>
      </c>
      <c r="G17" s="1">
        <v>0.05</v>
      </c>
      <c r="H17" s="1" t="s">
        <v>13</v>
      </c>
      <c r="I17" s="1">
        <v>12</v>
      </c>
      <c r="J17">
        <f>_xlfn.XLOOKUP(D17,[1]products!$A$2:$A$11,[1]products!$D$2:$D$11,"Not Found")</f>
        <v>600</v>
      </c>
      <c r="K17">
        <f t="shared" si="0"/>
        <v>1710</v>
      </c>
      <c r="L17">
        <f>_xlfn.XLOOKUP(D17,[1]products!$A$2:$A$11,[1]products!$E$2:$E$11,"Not Found")</f>
        <v>120</v>
      </c>
      <c r="M17">
        <f t="shared" si="1"/>
        <v>1338</v>
      </c>
      <c r="N17" t="str">
        <f>_xlfn.XLOOKUP(C17,[2]customers!$A$2:$A$81,[2]customers!$C$2:$C$81,"Not Found")</f>
        <v>East</v>
      </c>
      <c r="O17" t="str">
        <f>_xlfn.XLOOKUP(D17,[1]products!$A$2:$A$11,[1]products!$C$2:$C$11,"Not Found")</f>
        <v>Smartphone</v>
      </c>
      <c r="P17" t="str">
        <f>_xlfn.XLOOKUP(C17,[2]customers!$A$2:$A$81,[2]customers!$E$2:$E$81,"Not Found")</f>
        <v>Corporate</v>
      </c>
      <c r="Q17" t="str">
        <f t="shared" si="2"/>
        <v>July</v>
      </c>
    </row>
    <row r="18" spans="1:17" x14ac:dyDescent="0.3">
      <c r="A18" s="1" t="s">
        <v>54</v>
      </c>
      <c r="B18" s="2">
        <v>45793</v>
      </c>
      <c r="C18" s="1" t="s">
        <v>55</v>
      </c>
      <c r="D18" s="1" t="s">
        <v>15</v>
      </c>
      <c r="E18" s="1" t="s">
        <v>16</v>
      </c>
      <c r="F18" s="1">
        <v>3</v>
      </c>
      <c r="G18" s="1">
        <v>0</v>
      </c>
      <c r="H18" s="1" t="s">
        <v>13</v>
      </c>
      <c r="I18" s="1">
        <v>8</v>
      </c>
      <c r="J18">
        <f>_xlfn.XLOOKUP(D18,[1]products!$A$2:$A$11,[1]products!$D$2:$D$11,"Not Found")</f>
        <v>600</v>
      </c>
      <c r="K18">
        <f t="shared" si="0"/>
        <v>1800</v>
      </c>
      <c r="L18">
        <f>_xlfn.XLOOKUP(D18,[1]products!$A$2:$A$11,[1]products!$E$2:$E$11,"Not Found")</f>
        <v>120</v>
      </c>
      <c r="M18">
        <f t="shared" si="1"/>
        <v>1432</v>
      </c>
      <c r="N18" t="str">
        <f>_xlfn.XLOOKUP(C18,[2]customers!$A$2:$A$81,[2]customers!$C$2:$C$81,"Not Found")</f>
        <v>West</v>
      </c>
      <c r="O18" t="str">
        <f>_xlfn.XLOOKUP(D18,[1]products!$A$2:$A$11,[1]products!$C$2:$C$11,"Not Found")</f>
        <v>Smartphone</v>
      </c>
      <c r="P18" t="str">
        <f>_xlfn.XLOOKUP(C18,[2]customers!$A$2:$A$81,[2]customers!$E$2:$E$81,"Not Found")</f>
        <v>Consumer</v>
      </c>
      <c r="Q18" t="str">
        <f t="shared" si="2"/>
        <v>May</v>
      </c>
    </row>
    <row r="19" spans="1:17" x14ac:dyDescent="0.3">
      <c r="A19" s="1" t="s">
        <v>56</v>
      </c>
      <c r="B19" s="2">
        <v>45919</v>
      </c>
      <c r="C19" s="1" t="s">
        <v>57</v>
      </c>
      <c r="D19" s="1" t="s">
        <v>43</v>
      </c>
      <c r="E19" s="1" t="s">
        <v>16</v>
      </c>
      <c r="F19" s="1">
        <v>3</v>
      </c>
      <c r="G19" s="1">
        <v>0.05</v>
      </c>
      <c r="H19" s="1" t="s">
        <v>13</v>
      </c>
      <c r="I19" s="1">
        <v>15</v>
      </c>
      <c r="J19">
        <f>_xlfn.XLOOKUP(D19,[1]products!$A$2:$A$11,[1]products!$D$2:$D$11,"Not Found")</f>
        <v>160</v>
      </c>
      <c r="K19">
        <f t="shared" si="0"/>
        <v>456</v>
      </c>
      <c r="L19">
        <f>_xlfn.XLOOKUP(D19,[1]products!$A$2:$A$11,[1]products!$E$2:$E$11,"Not Found")</f>
        <v>38.4</v>
      </c>
      <c r="M19">
        <f t="shared" si="1"/>
        <v>325.8</v>
      </c>
      <c r="N19" t="str">
        <f>_xlfn.XLOOKUP(C19,[2]customers!$A$2:$A$81,[2]customers!$C$2:$C$81,"Not Found")</f>
        <v>South</v>
      </c>
      <c r="O19" t="str">
        <f>_xlfn.XLOOKUP(D19,[1]products!$A$2:$A$11,[1]products!$C$2:$C$11,"Not Found")</f>
        <v>Microwave</v>
      </c>
      <c r="P19" t="str">
        <f>_xlfn.XLOOKUP(C19,[2]customers!$A$2:$A$81,[2]customers!$E$2:$E$81,"Not Found")</f>
        <v>Consumer</v>
      </c>
      <c r="Q19" t="str">
        <f t="shared" si="2"/>
        <v>September</v>
      </c>
    </row>
    <row r="20" spans="1:17" x14ac:dyDescent="0.3">
      <c r="A20" s="1" t="s">
        <v>58</v>
      </c>
      <c r="B20" s="2">
        <v>45658</v>
      </c>
      <c r="C20" s="1" t="s">
        <v>59</v>
      </c>
      <c r="D20" s="1" t="s">
        <v>11</v>
      </c>
      <c r="E20" s="1" t="s">
        <v>53</v>
      </c>
      <c r="F20" s="1">
        <v>3</v>
      </c>
      <c r="G20" s="1">
        <v>0</v>
      </c>
      <c r="H20" s="1" t="s">
        <v>13</v>
      </c>
      <c r="I20" s="1">
        <v>18</v>
      </c>
      <c r="J20">
        <f>_xlfn.XLOOKUP(D20,[1]products!$A$2:$A$11,[1]products!$D$2:$D$11,"Not Found")</f>
        <v>180</v>
      </c>
      <c r="K20">
        <f t="shared" si="0"/>
        <v>540</v>
      </c>
      <c r="L20">
        <f>_xlfn.XLOOKUP(D20,[1]products!$A$2:$A$11,[1]products!$E$2:$E$11,"Not Found")</f>
        <v>54</v>
      </c>
      <c r="M20">
        <f t="shared" si="1"/>
        <v>360</v>
      </c>
      <c r="N20" t="str">
        <f>_xlfn.XLOOKUP(C20,[2]customers!$A$2:$A$81,[2]customers!$C$2:$C$81,"Not Found")</f>
        <v>West</v>
      </c>
      <c r="O20" t="str">
        <f>_xlfn.XLOOKUP(D20,[1]products!$A$2:$A$11,[1]products!$C$2:$C$11,"Not Found")</f>
        <v>Office Chair</v>
      </c>
      <c r="P20" t="str">
        <f>_xlfn.XLOOKUP(C20,[2]customers!$A$2:$A$81,[2]customers!$E$2:$E$81,"Not Found")</f>
        <v>Corporate</v>
      </c>
      <c r="Q20" t="str">
        <f t="shared" si="2"/>
        <v>January</v>
      </c>
    </row>
    <row r="21" spans="1:17" x14ac:dyDescent="0.3">
      <c r="A21" s="1" t="s">
        <v>60</v>
      </c>
      <c r="B21" s="2">
        <v>45827</v>
      </c>
      <c r="C21" s="1" t="s">
        <v>61</v>
      </c>
      <c r="D21" s="1" t="s">
        <v>38</v>
      </c>
      <c r="E21" s="1" t="s">
        <v>53</v>
      </c>
      <c r="F21" s="1">
        <v>4</v>
      </c>
      <c r="G21" s="1">
        <v>0</v>
      </c>
      <c r="H21" s="1" t="s">
        <v>62</v>
      </c>
      <c r="I21" s="1">
        <v>12</v>
      </c>
      <c r="J21">
        <f>_xlfn.XLOOKUP(D21,[1]products!$A$2:$A$11,[1]products!$D$2:$D$11,"Not Found")</f>
        <v>210</v>
      </c>
      <c r="K21">
        <f t="shared" si="0"/>
        <v>840</v>
      </c>
      <c r="L21">
        <f>_xlfn.XLOOKUP(D21,[1]products!$A$2:$A$11,[1]products!$E$2:$E$11,"Not Found")</f>
        <v>52.5</v>
      </c>
      <c r="M21">
        <f t="shared" si="1"/>
        <v>618</v>
      </c>
      <c r="N21" t="str">
        <f>_xlfn.XLOOKUP(C21,[2]customers!$A$2:$A$81,[2]customers!$C$2:$C$81,"Not Found")</f>
        <v>North</v>
      </c>
      <c r="O21" t="str">
        <f>_xlfn.XLOOKUP(D21,[1]products!$A$2:$A$11,[1]products!$C$2:$C$11,"Not Found")</f>
        <v>Bookshelf</v>
      </c>
      <c r="P21" t="str">
        <f>_xlfn.XLOOKUP(C21,[2]customers!$A$2:$A$81,[2]customers!$E$2:$E$81,"Not Found")</f>
        <v>Corporate</v>
      </c>
      <c r="Q21" t="str">
        <f t="shared" si="2"/>
        <v>June</v>
      </c>
    </row>
    <row r="22" spans="1:17" x14ac:dyDescent="0.3">
      <c r="A22" s="1" t="s">
        <v>63</v>
      </c>
      <c r="B22" s="2">
        <v>45825</v>
      </c>
      <c r="C22" s="1" t="s">
        <v>64</v>
      </c>
      <c r="D22" s="1" t="s">
        <v>21</v>
      </c>
      <c r="E22" s="1" t="s">
        <v>50</v>
      </c>
      <c r="F22" s="1">
        <v>5</v>
      </c>
      <c r="G22" s="1">
        <v>0.05</v>
      </c>
      <c r="H22" s="1" t="s">
        <v>13</v>
      </c>
      <c r="I22" s="1">
        <v>20</v>
      </c>
      <c r="J22">
        <f>_xlfn.XLOOKUP(D22,[1]products!$A$2:$A$11,[1]products!$D$2:$D$11,"Not Found")</f>
        <v>320</v>
      </c>
      <c r="K22">
        <f t="shared" si="0"/>
        <v>1520</v>
      </c>
      <c r="L22">
        <f>_xlfn.XLOOKUP(D22,[1]products!$A$2:$A$11,[1]products!$E$2:$E$11,"Not Found")</f>
        <v>86.4</v>
      </c>
      <c r="M22">
        <f t="shared" si="1"/>
        <v>1068</v>
      </c>
      <c r="N22" t="str">
        <f>_xlfn.XLOOKUP(C22,[2]customers!$A$2:$A$81,[2]customers!$C$2:$C$81,"Not Found")</f>
        <v>West</v>
      </c>
      <c r="O22" t="str">
        <f>_xlfn.XLOOKUP(D22,[1]products!$A$2:$A$11,[1]products!$C$2:$C$11,"Not Found")</f>
        <v>Desk</v>
      </c>
      <c r="P22" t="str">
        <f>_xlfn.XLOOKUP(C22,[2]customers!$A$2:$A$81,[2]customers!$E$2:$E$81,"Not Found")</f>
        <v>Corporate</v>
      </c>
      <c r="Q22" t="str">
        <f t="shared" si="2"/>
        <v>June</v>
      </c>
    </row>
    <row r="23" spans="1:17" x14ac:dyDescent="0.3">
      <c r="A23" s="1" t="s">
        <v>65</v>
      </c>
      <c r="B23" s="2">
        <v>45852</v>
      </c>
      <c r="C23" s="1" t="s">
        <v>66</v>
      </c>
      <c r="D23" s="1" t="s">
        <v>35</v>
      </c>
      <c r="E23" s="1" t="s">
        <v>26</v>
      </c>
      <c r="F23" s="1">
        <v>2</v>
      </c>
      <c r="G23" s="1">
        <v>0</v>
      </c>
      <c r="H23" s="1" t="s">
        <v>13</v>
      </c>
      <c r="I23" s="1">
        <v>18</v>
      </c>
      <c r="J23">
        <f>_xlfn.XLOOKUP(D23,[1]products!$A$2:$A$11,[1]products!$D$2:$D$11,"Not Found")</f>
        <v>130</v>
      </c>
      <c r="K23">
        <f t="shared" si="0"/>
        <v>260</v>
      </c>
      <c r="L23">
        <f>_xlfn.XLOOKUP(D23,[1]products!$A$2:$A$11,[1]products!$E$2:$E$11,"Not Found")</f>
        <v>33.799999999999997</v>
      </c>
      <c r="M23">
        <f t="shared" si="1"/>
        <v>174.4</v>
      </c>
      <c r="N23" t="str">
        <f>_xlfn.XLOOKUP(C23,[2]customers!$A$2:$A$81,[2]customers!$C$2:$C$81,"Not Found")</f>
        <v>South</v>
      </c>
      <c r="O23" t="str">
        <f>_xlfn.XLOOKUP(D23,[1]products!$A$2:$A$11,[1]products!$C$2:$C$11,"Not Found")</f>
        <v>Air Fryer</v>
      </c>
      <c r="P23" t="str">
        <f>_xlfn.XLOOKUP(C23,[2]customers!$A$2:$A$81,[2]customers!$E$2:$E$81,"Not Found")</f>
        <v>Consumer</v>
      </c>
      <c r="Q23" t="str">
        <f t="shared" si="2"/>
        <v>July</v>
      </c>
    </row>
    <row r="24" spans="1:17" x14ac:dyDescent="0.3">
      <c r="A24" s="1" t="s">
        <v>67</v>
      </c>
      <c r="B24" s="2">
        <v>45813</v>
      </c>
      <c r="C24" s="1" t="s">
        <v>68</v>
      </c>
      <c r="D24" s="1" t="s">
        <v>21</v>
      </c>
      <c r="E24" s="1" t="s">
        <v>12</v>
      </c>
      <c r="F24" s="1">
        <v>4</v>
      </c>
      <c r="G24" s="1">
        <v>0.15</v>
      </c>
      <c r="H24" s="1" t="s">
        <v>22</v>
      </c>
      <c r="I24" s="1">
        <v>10</v>
      </c>
      <c r="J24">
        <f>_xlfn.XLOOKUP(D24,[1]products!$A$2:$A$11,[1]products!$D$2:$D$11,"Not Found")</f>
        <v>320</v>
      </c>
      <c r="K24">
        <f t="shared" si="0"/>
        <v>1088</v>
      </c>
      <c r="L24">
        <f>_xlfn.XLOOKUP(D24,[1]products!$A$2:$A$11,[1]products!$E$2:$E$11,"Not Found")</f>
        <v>86.4</v>
      </c>
      <c r="M24">
        <f t="shared" si="1"/>
        <v>732.4</v>
      </c>
      <c r="N24" t="str">
        <f>_xlfn.XLOOKUP(C24,[2]customers!$A$2:$A$81,[2]customers!$C$2:$C$81,"Not Found")</f>
        <v>West</v>
      </c>
      <c r="O24" t="str">
        <f>_xlfn.XLOOKUP(D24,[1]products!$A$2:$A$11,[1]products!$C$2:$C$11,"Not Found")</f>
        <v>Desk</v>
      </c>
      <c r="P24" t="str">
        <f>_xlfn.XLOOKUP(C24,[2]customers!$A$2:$A$81,[2]customers!$E$2:$E$81,"Not Found")</f>
        <v>Corporate</v>
      </c>
      <c r="Q24" t="str">
        <f t="shared" si="2"/>
        <v>June</v>
      </c>
    </row>
    <row r="25" spans="1:17" x14ac:dyDescent="0.3">
      <c r="A25" s="1" t="s">
        <v>69</v>
      </c>
      <c r="B25" s="2">
        <v>45884</v>
      </c>
      <c r="C25" s="1" t="s">
        <v>70</v>
      </c>
      <c r="D25" s="1" t="s">
        <v>71</v>
      </c>
      <c r="E25" s="1" t="s">
        <v>26</v>
      </c>
      <c r="F25" s="1">
        <v>5</v>
      </c>
      <c r="G25" s="1">
        <v>0.05</v>
      </c>
      <c r="H25" s="1" t="s">
        <v>13</v>
      </c>
      <c r="I25" s="1">
        <v>18</v>
      </c>
      <c r="J25">
        <f>_xlfn.XLOOKUP(D25,[1]products!$A$2:$A$11,[1]products!$D$2:$D$11,"Not Found")</f>
        <v>240</v>
      </c>
      <c r="K25">
        <f t="shared" si="0"/>
        <v>1140</v>
      </c>
      <c r="L25">
        <f>_xlfn.XLOOKUP(D25,[1]products!$A$2:$A$11,[1]products!$E$2:$E$11,"Not Found")</f>
        <v>55.2</v>
      </c>
      <c r="M25">
        <f t="shared" si="1"/>
        <v>846</v>
      </c>
      <c r="N25" t="str">
        <f>_xlfn.XLOOKUP(C25,[2]customers!$A$2:$A$81,[2]customers!$C$2:$C$81,"Not Found")</f>
        <v>North</v>
      </c>
      <c r="O25" t="str">
        <f>_xlfn.XLOOKUP(D25,[1]products!$A$2:$A$11,[1]products!$C$2:$C$11,"Not Found")</f>
        <v>Vacuum Cleaner</v>
      </c>
      <c r="P25" t="str">
        <f>_xlfn.XLOOKUP(C25,[2]customers!$A$2:$A$81,[2]customers!$E$2:$E$81,"Not Found")</f>
        <v>Home Office</v>
      </c>
      <c r="Q25" t="str">
        <f t="shared" si="2"/>
        <v>August</v>
      </c>
    </row>
    <row r="26" spans="1:17" x14ac:dyDescent="0.3">
      <c r="A26" s="1" t="s">
        <v>72</v>
      </c>
      <c r="B26" s="2">
        <v>45982</v>
      </c>
      <c r="C26" s="1" t="s">
        <v>73</v>
      </c>
      <c r="D26" s="1" t="s">
        <v>74</v>
      </c>
      <c r="E26" s="1" t="s">
        <v>53</v>
      </c>
      <c r="F26" s="1">
        <v>1</v>
      </c>
      <c r="G26" s="1">
        <v>0.05</v>
      </c>
      <c r="H26" s="1" t="s">
        <v>13</v>
      </c>
      <c r="I26" s="1">
        <v>12</v>
      </c>
      <c r="J26">
        <f>_xlfn.XLOOKUP(D26,[1]products!$A$2:$A$11,[1]products!$D$2:$D$11,"Not Found")</f>
        <v>90</v>
      </c>
      <c r="K26">
        <f t="shared" si="0"/>
        <v>85.5</v>
      </c>
      <c r="L26">
        <f>_xlfn.XLOOKUP(D26,[1]products!$A$2:$A$11,[1]products!$E$2:$E$11,"Not Found")</f>
        <v>25.2</v>
      </c>
      <c r="M26">
        <f t="shared" si="1"/>
        <v>48.3</v>
      </c>
      <c r="N26" t="str">
        <f>_xlfn.XLOOKUP(C26,[2]customers!$A$2:$A$81,[2]customers!$C$2:$C$81,"Not Found")</f>
        <v>West</v>
      </c>
      <c r="O26" t="str">
        <f>_xlfn.XLOOKUP(D26,[1]products!$A$2:$A$11,[1]products!$C$2:$C$11,"Not Found")</f>
        <v>Headphones</v>
      </c>
      <c r="P26" t="str">
        <f>_xlfn.XLOOKUP(C26,[2]customers!$A$2:$A$81,[2]customers!$E$2:$E$81,"Not Found")</f>
        <v>Corporate</v>
      </c>
      <c r="Q26" t="str">
        <f t="shared" si="2"/>
        <v>November</v>
      </c>
    </row>
    <row r="27" spans="1:17" x14ac:dyDescent="0.3">
      <c r="A27" s="1" t="s">
        <v>75</v>
      </c>
      <c r="B27" s="2">
        <v>45733</v>
      </c>
      <c r="C27" s="1" t="s">
        <v>76</v>
      </c>
      <c r="D27" s="1" t="s">
        <v>11</v>
      </c>
      <c r="E27" s="1" t="s">
        <v>16</v>
      </c>
      <c r="F27" s="1">
        <v>3</v>
      </c>
      <c r="G27" s="1">
        <v>0</v>
      </c>
      <c r="H27" s="1" t="s">
        <v>22</v>
      </c>
      <c r="I27" s="1">
        <v>8</v>
      </c>
      <c r="J27">
        <f>_xlfn.XLOOKUP(D27,[1]products!$A$2:$A$11,[1]products!$D$2:$D$11,"Not Found")</f>
        <v>180</v>
      </c>
      <c r="K27">
        <f t="shared" si="0"/>
        <v>540</v>
      </c>
      <c r="L27">
        <f>_xlfn.XLOOKUP(D27,[1]products!$A$2:$A$11,[1]products!$E$2:$E$11,"Not Found")</f>
        <v>54</v>
      </c>
      <c r="M27">
        <f t="shared" si="1"/>
        <v>370</v>
      </c>
      <c r="N27" t="str">
        <f>_xlfn.XLOOKUP(C27,[2]customers!$A$2:$A$81,[2]customers!$C$2:$C$81,"Not Found")</f>
        <v>West</v>
      </c>
      <c r="O27" t="str">
        <f>_xlfn.XLOOKUP(D27,[1]products!$A$2:$A$11,[1]products!$C$2:$C$11,"Not Found")</f>
        <v>Office Chair</v>
      </c>
      <c r="P27" t="str">
        <f>_xlfn.XLOOKUP(C27,[2]customers!$A$2:$A$81,[2]customers!$E$2:$E$81,"Not Found")</f>
        <v>Consumer</v>
      </c>
      <c r="Q27" t="str">
        <f t="shared" si="2"/>
        <v>March</v>
      </c>
    </row>
    <row r="28" spans="1:17" x14ac:dyDescent="0.3">
      <c r="A28" s="1" t="s">
        <v>77</v>
      </c>
      <c r="B28" s="2">
        <v>45980</v>
      </c>
      <c r="C28" s="1" t="s">
        <v>78</v>
      </c>
      <c r="D28" s="1" t="s">
        <v>79</v>
      </c>
      <c r="E28" s="1" t="s">
        <v>53</v>
      </c>
      <c r="F28" s="1">
        <v>5</v>
      </c>
      <c r="G28" s="1">
        <v>0</v>
      </c>
      <c r="H28" s="1" t="s">
        <v>13</v>
      </c>
      <c r="I28" s="1">
        <v>10</v>
      </c>
      <c r="J28">
        <f>_xlfn.XLOOKUP(D28,[1]products!$A$2:$A$11,[1]products!$D$2:$D$11,"Not Found")</f>
        <v>70</v>
      </c>
      <c r="K28">
        <f t="shared" si="0"/>
        <v>350</v>
      </c>
      <c r="L28">
        <f>_xlfn.XLOOKUP(D28,[1]products!$A$2:$A$11,[1]products!$E$2:$E$11,"Not Found")</f>
        <v>22.4</v>
      </c>
      <c r="M28">
        <f t="shared" si="1"/>
        <v>228</v>
      </c>
      <c r="N28" t="str">
        <f>_xlfn.XLOOKUP(C28,[2]customers!$A$2:$A$81,[2]customers!$C$2:$C$81,"Not Found")</f>
        <v>North</v>
      </c>
      <c r="O28" t="str">
        <f>_xlfn.XLOOKUP(D28,[1]products!$A$2:$A$11,[1]products!$C$2:$C$11,"Not Found")</f>
        <v>Blender</v>
      </c>
      <c r="P28" t="str">
        <f>_xlfn.XLOOKUP(C28,[2]customers!$A$2:$A$81,[2]customers!$E$2:$E$81,"Not Found")</f>
        <v>Consumer</v>
      </c>
      <c r="Q28" t="str">
        <f t="shared" si="2"/>
        <v>November</v>
      </c>
    </row>
    <row r="29" spans="1:17" x14ac:dyDescent="0.3">
      <c r="A29" s="1" t="s">
        <v>80</v>
      </c>
      <c r="B29" s="2">
        <v>46010</v>
      </c>
      <c r="C29" s="1" t="s">
        <v>81</v>
      </c>
      <c r="D29" s="1" t="s">
        <v>79</v>
      </c>
      <c r="E29" s="1" t="s">
        <v>16</v>
      </c>
      <c r="F29" s="1">
        <v>4</v>
      </c>
      <c r="G29" s="1">
        <v>0</v>
      </c>
      <c r="H29" s="1" t="s">
        <v>13</v>
      </c>
      <c r="I29" s="1">
        <v>8</v>
      </c>
      <c r="J29">
        <f>_xlfn.XLOOKUP(D29,[1]products!$A$2:$A$11,[1]products!$D$2:$D$11,"Not Found")</f>
        <v>70</v>
      </c>
      <c r="K29">
        <f t="shared" si="0"/>
        <v>280</v>
      </c>
      <c r="L29">
        <f>_xlfn.XLOOKUP(D29,[1]products!$A$2:$A$11,[1]products!$E$2:$E$11,"Not Found")</f>
        <v>22.4</v>
      </c>
      <c r="M29">
        <f t="shared" si="1"/>
        <v>182.4</v>
      </c>
      <c r="N29" t="str">
        <f>_xlfn.XLOOKUP(C29,[2]customers!$A$2:$A$81,[2]customers!$C$2:$C$81,"Not Found")</f>
        <v>West</v>
      </c>
      <c r="O29" t="str">
        <f>_xlfn.XLOOKUP(D29,[1]products!$A$2:$A$11,[1]products!$C$2:$C$11,"Not Found")</f>
        <v>Blender</v>
      </c>
      <c r="P29" t="str">
        <f>_xlfn.XLOOKUP(C29,[2]customers!$A$2:$A$81,[2]customers!$E$2:$E$81,"Not Found")</f>
        <v>Consumer</v>
      </c>
      <c r="Q29" t="str">
        <f t="shared" si="2"/>
        <v>December</v>
      </c>
    </row>
    <row r="30" spans="1:17" x14ac:dyDescent="0.3">
      <c r="A30" s="1" t="s">
        <v>82</v>
      </c>
      <c r="B30" s="2">
        <v>45943</v>
      </c>
      <c r="C30" s="1" t="s">
        <v>32</v>
      </c>
      <c r="D30" s="1" t="s">
        <v>11</v>
      </c>
      <c r="E30" s="1" t="s">
        <v>26</v>
      </c>
      <c r="F30" s="1">
        <v>2</v>
      </c>
      <c r="G30" s="1">
        <v>0.15</v>
      </c>
      <c r="H30" s="1" t="s">
        <v>13</v>
      </c>
      <c r="I30" s="1">
        <v>8</v>
      </c>
      <c r="J30">
        <f>_xlfn.XLOOKUP(D30,[1]products!$A$2:$A$11,[1]products!$D$2:$D$11,"Not Found")</f>
        <v>180</v>
      </c>
      <c r="K30">
        <f t="shared" si="0"/>
        <v>306</v>
      </c>
      <c r="L30">
        <f>_xlfn.XLOOKUP(D30,[1]products!$A$2:$A$11,[1]products!$E$2:$E$11,"Not Found")</f>
        <v>54</v>
      </c>
      <c r="M30">
        <f t="shared" si="1"/>
        <v>190</v>
      </c>
      <c r="N30" t="str">
        <f>_xlfn.XLOOKUP(C30,[2]customers!$A$2:$A$81,[2]customers!$C$2:$C$81,"Not Found")</f>
        <v>West</v>
      </c>
      <c r="O30" t="str">
        <f>_xlfn.XLOOKUP(D30,[1]products!$A$2:$A$11,[1]products!$C$2:$C$11,"Not Found")</f>
        <v>Office Chair</v>
      </c>
      <c r="P30" t="str">
        <f>_xlfn.XLOOKUP(C30,[2]customers!$A$2:$A$81,[2]customers!$E$2:$E$81,"Not Found")</f>
        <v>Consumer</v>
      </c>
      <c r="Q30" t="str">
        <f t="shared" si="2"/>
        <v>October</v>
      </c>
    </row>
    <row r="31" spans="1:17" x14ac:dyDescent="0.3">
      <c r="A31" s="1" t="s">
        <v>83</v>
      </c>
      <c r="B31" s="2">
        <v>45962</v>
      </c>
      <c r="C31" s="1" t="s">
        <v>84</v>
      </c>
      <c r="D31" s="1" t="s">
        <v>74</v>
      </c>
      <c r="E31" s="1" t="s">
        <v>12</v>
      </c>
      <c r="F31" s="1">
        <v>4</v>
      </c>
      <c r="G31" s="1">
        <v>0.15</v>
      </c>
      <c r="H31" s="1" t="s">
        <v>62</v>
      </c>
      <c r="I31" s="1">
        <v>15</v>
      </c>
      <c r="J31">
        <f>_xlfn.XLOOKUP(D31,[1]products!$A$2:$A$11,[1]products!$D$2:$D$11,"Not Found")</f>
        <v>90</v>
      </c>
      <c r="K31">
        <f t="shared" si="0"/>
        <v>306</v>
      </c>
      <c r="L31">
        <f>_xlfn.XLOOKUP(D31,[1]products!$A$2:$A$11,[1]products!$E$2:$E$11,"Not Found")</f>
        <v>25.2</v>
      </c>
      <c r="M31">
        <f t="shared" si="1"/>
        <v>190.2</v>
      </c>
      <c r="N31" t="str">
        <f>_xlfn.XLOOKUP(C31,[2]customers!$A$2:$A$81,[2]customers!$C$2:$C$81,"Not Found")</f>
        <v>North</v>
      </c>
      <c r="O31" t="str">
        <f>_xlfn.XLOOKUP(D31,[1]products!$A$2:$A$11,[1]products!$C$2:$C$11,"Not Found")</f>
        <v>Headphones</v>
      </c>
      <c r="P31" t="str">
        <f>_xlfn.XLOOKUP(C31,[2]customers!$A$2:$A$81,[2]customers!$E$2:$E$81,"Not Found")</f>
        <v>Corporate</v>
      </c>
      <c r="Q31" t="str">
        <f t="shared" si="2"/>
        <v>November</v>
      </c>
    </row>
    <row r="32" spans="1:17" x14ac:dyDescent="0.3">
      <c r="A32" s="1" t="s">
        <v>85</v>
      </c>
      <c r="B32" s="2">
        <v>45739</v>
      </c>
      <c r="C32" s="1" t="s">
        <v>86</v>
      </c>
      <c r="D32" s="1" t="s">
        <v>35</v>
      </c>
      <c r="E32" s="1" t="s">
        <v>50</v>
      </c>
      <c r="F32" s="1">
        <v>4</v>
      </c>
      <c r="G32" s="1">
        <v>0.15</v>
      </c>
      <c r="H32" s="1" t="s">
        <v>13</v>
      </c>
      <c r="I32" s="1">
        <v>15</v>
      </c>
      <c r="J32">
        <f>_xlfn.XLOOKUP(D32,[1]products!$A$2:$A$11,[1]products!$D$2:$D$11,"Not Found")</f>
        <v>130</v>
      </c>
      <c r="K32">
        <f t="shared" si="0"/>
        <v>442</v>
      </c>
      <c r="L32">
        <f>_xlfn.XLOOKUP(D32,[1]products!$A$2:$A$11,[1]products!$E$2:$E$11,"Not Found")</f>
        <v>33.799999999999997</v>
      </c>
      <c r="M32">
        <f t="shared" si="1"/>
        <v>291.8</v>
      </c>
      <c r="N32" t="str">
        <f>_xlfn.XLOOKUP(C32,[2]customers!$A$2:$A$81,[2]customers!$C$2:$C$81,"Not Found")</f>
        <v>West</v>
      </c>
      <c r="O32" t="str">
        <f>_xlfn.XLOOKUP(D32,[1]products!$A$2:$A$11,[1]products!$C$2:$C$11,"Not Found")</f>
        <v>Air Fryer</v>
      </c>
      <c r="P32" t="str">
        <f>_xlfn.XLOOKUP(C32,[2]customers!$A$2:$A$81,[2]customers!$E$2:$E$81,"Not Found")</f>
        <v>Home Office</v>
      </c>
      <c r="Q32" t="str">
        <f t="shared" si="2"/>
        <v>March</v>
      </c>
    </row>
    <row r="33" spans="1:17" x14ac:dyDescent="0.3">
      <c r="A33" s="1" t="s">
        <v>87</v>
      </c>
      <c r="B33" s="2">
        <v>45780</v>
      </c>
      <c r="C33" s="1" t="s">
        <v>88</v>
      </c>
      <c r="D33" s="1" t="s">
        <v>11</v>
      </c>
      <c r="E33" s="1" t="s">
        <v>12</v>
      </c>
      <c r="F33" s="1">
        <v>3</v>
      </c>
      <c r="G33" s="1">
        <v>0.15</v>
      </c>
      <c r="H33" s="1" t="s">
        <v>13</v>
      </c>
      <c r="I33" s="1">
        <v>15</v>
      </c>
      <c r="J33">
        <f>_xlfn.XLOOKUP(D33,[1]products!$A$2:$A$11,[1]products!$D$2:$D$11,"Not Found")</f>
        <v>180</v>
      </c>
      <c r="K33">
        <f t="shared" si="0"/>
        <v>459</v>
      </c>
      <c r="L33">
        <f>_xlfn.XLOOKUP(D33,[1]products!$A$2:$A$11,[1]products!$E$2:$E$11,"Not Found")</f>
        <v>54</v>
      </c>
      <c r="M33">
        <f t="shared" si="1"/>
        <v>282</v>
      </c>
      <c r="N33" t="str">
        <f>_xlfn.XLOOKUP(C33,[2]customers!$A$2:$A$81,[2]customers!$C$2:$C$81,"Not Found")</f>
        <v>East</v>
      </c>
      <c r="O33" t="str">
        <f>_xlfn.XLOOKUP(D33,[1]products!$A$2:$A$11,[1]products!$C$2:$C$11,"Not Found")</f>
        <v>Office Chair</v>
      </c>
      <c r="P33" t="str">
        <f>_xlfn.XLOOKUP(C33,[2]customers!$A$2:$A$81,[2]customers!$E$2:$E$81,"Not Found")</f>
        <v>Consumer</v>
      </c>
      <c r="Q33" t="str">
        <f t="shared" si="2"/>
        <v>May</v>
      </c>
    </row>
    <row r="34" spans="1:17" x14ac:dyDescent="0.3">
      <c r="A34" s="1" t="s">
        <v>89</v>
      </c>
      <c r="B34" s="2">
        <v>45934</v>
      </c>
      <c r="C34" s="1" t="s">
        <v>90</v>
      </c>
      <c r="D34" s="1" t="s">
        <v>21</v>
      </c>
      <c r="E34" s="1" t="s">
        <v>16</v>
      </c>
      <c r="F34" s="1">
        <v>2</v>
      </c>
      <c r="G34" s="1">
        <v>0.05</v>
      </c>
      <c r="H34" s="1" t="s">
        <v>13</v>
      </c>
      <c r="I34" s="1">
        <v>10</v>
      </c>
      <c r="J34">
        <f>_xlfn.XLOOKUP(D34,[1]products!$A$2:$A$11,[1]products!$D$2:$D$11,"Not Found")</f>
        <v>320</v>
      </c>
      <c r="K34">
        <f t="shared" si="0"/>
        <v>608</v>
      </c>
      <c r="L34">
        <f>_xlfn.XLOOKUP(D34,[1]products!$A$2:$A$11,[1]products!$E$2:$E$11,"Not Found")</f>
        <v>86.4</v>
      </c>
      <c r="M34">
        <f t="shared" si="1"/>
        <v>425.2</v>
      </c>
      <c r="N34" t="str">
        <f>_xlfn.XLOOKUP(C34,[2]customers!$A$2:$A$81,[2]customers!$C$2:$C$81,"Not Found")</f>
        <v>West</v>
      </c>
      <c r="O34" t="str">
        <f>_xlfn.XLOOKUP(D34,[1]products!$A$2:$A$11,[1]products!$C$2:$C$11,"Not Found")</f>
        <v>Desk</v>
      </c>
      <c r="P34" t="str">
        <f>_xlfn.XLOOKUP(C34,[2]customers!$A$2:$A$81,[2]customers!$E$2:$E$81,"Not Found")</f>
        <v>Corporate</v>
      </c>
      <c r="Q34" t="str">
        <f t="shared" si="2"/>
        <v>October</v>
      </c>
    </row>
    <row r="35" spans="1:17" x14ac:dyDescent="0.3">
      <c r="A35" s="1" t="s">
        <v>91</v>
      </c>
      <c r="B35" s="2">
        <v>45690</v>
      </c>
      <c r="C35" s="1" t="s">
        <v>92</v>
      </c>
      <c r="D35" s="1" t="s">
        <v>11</v>
      </c>
      <c r="E35" s="1" t="s">
        <v>50</v>
      </c>
      <c r="F35" s="1">
        <v>4</v>
      </c>
      <c r="G35" s="1">
        <v>0</v>
      </c>
      <c r="H35" s="1" t="s">
        <v>13</v>
      </c>
      <c r="I35" s="1">
        <v>15</v>
      </c>
      <c r="J35">
        <f>_xlfn.XLOOKUP(D35,[1]products!$A$2:$A$11,[1]products!$D$2:$D$11,"Not Found")</f>
        <v>180</v>
      </c>
      <c r="K35">
        <f t="shared" si="0"/>
        <v>720</v>
      </c>
      <c r="L35">
        <f>_xlfn.XLOOKUP(D35,[1]products!$A$2:$A$11,[1]products!$E$2:$E$11,"Not Found")</f>
        <v>54</v>
      </c>
      <c r="M35">
        <f t="shared" si="1"/>
        <v>489</v>
      </c>
      <c r="N35" t="str">
        <f>_xlfn.XLOOKUP(C35,[2]customers!$A$2:$A$81,[2]customers!$C$2:$C$81,"Not Found")</f>
        <v>South</v>
      </c>
      <c r="O35" t="str">
        <f>_xlfn.XLOOKUP(D35,[1]products!$A$2:$A$11,[1]products!$C$2:$C$11,"Not Found")</f>
        <v>Office Chair</v>
      </c>
      <c r="P35" t="str">
        <f>_xlfn.XLOOKUP(C35,[2]customers!$A$2:$A$81,[2]customers!$E$2:$E$81,"Not Found")</f>
        <v>Corporate</v>
      </c>
      <c r="Q35" t="str">
        <f t="shared" si="2"/>
        <v>February</v>
      </c>
    </row>
    <row r="36" spans="1:17" x14ac:dyDescent="0.3">
      <c r="A36" s="1" t="s">
        <v>93</v>
      </c>
      <c r="B36" s="2">
        <v>45873</v>
      </c>
      <c r="C36" s="1" t="s">
        <v>94</v>
      </c>
      <c r="D36" s="1" t="s">
        <v>35</v>
      </c>
      <c r="E36" s="1" t="s">
        <v>50</v>
      </c>
      <c r="F36" s="1">
        <v>4</v>
      </c>
      <c r="G36" s="1">
        <v>0.1</v>
      </c>
      <c r="H36" s="1" t="s">
        <v>13</v>
      </c>
      <c r="I36" s="1">
        <v>18</v>
      </c>
      <c r="J36">
        <f>_xlfn.XLOOKUP(D36,[1]products!$A$2:$A$11,[1]products!$D$2:$D$11,"Not Found")</f>
        <v>130</v>
      </c>
      <c r="K36">
        <f t="shared" si="0"/>
        <v>468</v>
      </c>
      <c r="L36">
        <f>_xlfn.XLOOKUP(D36,[1]products!$A$2:$A$11,[1]products!$E$2:$E$11,"Not Found")</f>
        <v>33.799999999999997</v>
      </c>
      <c r="M36">
        <f t="shared" si="1"/>
        <v>314.8</v>
      </c>
      <c r="N36" t="str">
        <f>_xlfn.XLOOKUP(C36,[2]customers!$A$2:$A$81,[2]customers!$C$2:$C$81,"Not Found")</f>
        <v>South</v>
      </c>
      <c r="O36" t="str">
        <f>_xlfn.XLOOKUP(D36,[1]products!$A$2:$A$11,[1]products!$C$2:$C$11,"Not Found")</f>
        <v>Air Fryer</v>
      </c>
      <c r="P36" t="str">
        <f>_xlfn.XLOOKUP(C36,[2]customers!$A$2:$A$81,[2]customers!$E$2:$E$81,"Not Found")</f>
        <v>Consumer</v>
      </c>
      <c r="Q36" t="str">
        <f t="shared" si="2"/>
        <v>August</v>
      </c>
    </row>
    <row r="37" spans="1:17" x14ac:dyDescent="0.3">
      <c r="A37" s="1" t="s">
        <v>95</v>
      </c>
      <c r="B37" s="2">
        <v>45838</v>
      </c>
      <c r="C37" s="1" t="s">
        <v>96</v>
      </c>
      <c r="D37" s="1" t="s">
        <v>71</v>
      </c>
      <c r="E37" s="1" t="s">
        <v>12</v>
      </c>
      <c r="F37" s="1">
        <v>4</v>
      </c>
      <c r="G37" s="1">
        <v>0.1</v>
      </c>
      <c r="H37" s="1" t="s">
        <v>13</v>
      </c>
      <c r="I37" s="1">
        <v>15</v>
      </c>
      <c r="J37">
        <f>_xlfn.XLOOKUP(D37,[1]products!$A$2:$A$11,[1]products!$D$2:$D$11,"Not Found")</f>
        <v>240</v>
      </c>
      <c r="K37">
        <f t="shared" si="0"/>
        <v>864</v>
      </c>
      <c r="L37">
        <f>_xlfn.XLOOKUP(D37,[1]products!$A$2:$A$11,[1]products!$E$2:$E$11,"Not Found")</f>
        <v>55.2</v>
      </c>
      <c r="M37">
        <f t="shared" si="1"/>
        <v>628.20000000000005</v>
      </c>
      <c r="N37" t="str">
        <f>_xlfn.XLOOKUP(C37,[2]customers!$A$2:$A$81,[2]customers!$C$2:$C$81,"Not Found")</f>
        <v>West</v>
      </c>
      <c r="O37" t="str">
        <f>_xlfn.XLOOKUP(D37,[1]products!$A$2:$A$11,[1]products!$C$2:$C$11,"Not Found")</f>
        <v>Vacuum Cleaner</v>
      </c>
      <c r="P37" t="str">
        <f>_xlfn.XLOOKUP(C37,[2]customers!$A$2:$A$81,[2]customers!$E$2:$E$81,"Not Found")</f>
        <v>Corporate</v>
      </c>
      <c r="Q37" t="str">
        <f t="shared" si="2"/>
        <v>June</v>
      </c>
    </row>
    <row r="38" spans="1:17" x14ac:dyDescent="0.3">
      <c r="A38" s="1" t="s">
        <v>97</v>
      </c>
      <c r="B38" s="2">
        <v>45907</v>
      </c>
      <c r="C38" s="1" t="s">
        <v>98</v>
      </c>
      <c r="D38" s="1" t="s">
        <v>35</v>
      </c>
      <c r="E38" s="1" t="s">
        <v>26</v>
      </c>
      <c r="F38" s="1">
        <v>5</v>
      </c>
      <c r="G38" s="1">
        <v>0.15</v>
      </c>
      <c r="H38" s="1" t="s">
        <v>22</v>
      </c>
      <c r="I38" s="1">
        <v>12</v>
      </c>
      <c r="J38">
        <f>_xlfn.XLOOKUP(D38,[1]products!$A$2:$A$11,[1]products!$D$2:$D$11,"Not Found")</f>
        <v>130</v>
      </c>
      <c r="K38">
        <f t="shared" si="0"/>
        <v>552.5</v>
      </c>
      <c r="L38">
        <f>_xlfn.XLOOKUP(D38,[1]products!$A$2:$A$11,[1]products!$E$2:$E$11,"Not Found")</f>
        <v>33.799999999999997</v>
      </c>
      <c r="M38">
        <f t="shared" si="1"/>
        <v>371.5</v>
      </c>
      <c r="N38" t="str">
        <f>_xlfn.XLOOKUP(C38,[2]customers!$A$2:$A$81,[2]customers!$C$2:$C$81,"Not Found")</f>
        <v>South</v>
      </c>
      <c r="O38" t="str">
        <f>_xlfn.XLOOKUP(D38,[1]products!$A$2:$A$11,[1]products!$C$2:$C$11,"Not Found")</f>
        <v>Air Fryer</v>
      </c>
      <c r="P38" t="str">
        <f>_xlfn.XLOOKUP(C38,[2]customers!$A$2:$A$81,[2]customers!$E$2:$E$81,"Not Found")</f>
        <v>Consumer</v>
      </c>
      <c r="Q38" t="str">
        <f t="shared" si="2"/>
        <v>September</v>
      </c>
    </row>
    <row r="39" spans="1:17" x14ac:dyDescent="0.3">
      <c r="A39" s="1" t="s">
        <v>99</v>
      </c>
      <c r="B39" s="2">
        <v>46005</v>
      </c>
      <c r="C39" s="1" t="s">
        <v>70</v>
      </c>
      <c r="D39" s="1" t="s">
        <v>79</v>
      </c>
      <c r="E39" s="1" t="s">
        <v>50</v>
      </c>
      <c r="F39" s="1">
        <v>1</v>
      </c>
      <c r="G39" s="1">
        <v>0.1</v>
      </c>
      <c r="H39" s="1" t="s">
        <v>13</v>
      </c>
      <c r="I39" s="1">
        <v>20</v>
      </c>
      <c r="J39">
        <f>_xlfn.XLOOKUP(D39,[1]products!$A$2:$A$11,[1]products!$D$2:$D$11,"Not Found")</f>
        <v>70</v>
      </c>
      <c r="K39">
        <f t="shared" si="0"/>
        <v>63</v>
      </c>
      <c r="L39">
        <f>_xlfn.XLOOKUP(D39,[1]products!$A$2:$A$11,[1]products!$E$2:$E$11,"Not Found")</f>
        <v>22.4</v>
      </c>
      <c r="M39">
        <f t="shared" si="1"/>
        <v>20.6</v>
      </c>
      <c r="N39" t="str">
        <f>_xlfn.XLOOKUP(C39,[2]customers!$A$2:$A$81,[2]customers!$C$2:$C$81,"Not Found")</f>
        <v>North</v>
      </c>
      <c r="O39" t="str">
        <f>_xlfn.XLOOKUP(D39,[1]products!$A$2:$A$11,[1]products!$C$2:$C$11,"Not Found")</f>
        <v>Blender</v>
      </c>
      <c r="P39" t="str">
        <f>_xlfn.XLOOKUP(C39,[2]customers!$A$2:$A$81,[2]customers!$E$2:$E$81,"Not Found")</f>
        <v>Home Office</v>
      </c>
      <c r="Q39" t="str">
        <f t="shared" si="2"/>
        <v>December</v>
      </c>
    </row>
    <row r="40" spans="1:17" x14ac:dyDescent="0.3">
      <c r="A40" s="1" t="s">
        <v>100</v>
      </c>
      <c r="B40" s="2">
        <v>45859</v>
      </c>
      <c r="C40" s="1" t="s">
        <v>101</v>
      </c>
      <c r="D40" s="1" t="s">
        <v>79</v>
      </c>
      <c r="E40" s="1" t="s">
        <v>53</v>
      </c>
      <c r="F40" s="1">
        <v>2</v>
      </c>
      <c r="G40" s="1">
        <v>0.15</v>
      </c>
      <c r="H40" s="1" t="s">
        <v>13</v>
      </c>
      <c r="I40" s="1">
        <v>18</v>
      </c>
      <c r="J40">
        <f>_xlfn.XLOOKUP(D40,[1]products!$A$2:$A$11,[1]products!$D$2:$D$11,"Not Found")</f>
        <v>70</v>
      </c>
      <c r="K40">
        <f t="shared" si="0"/>
        <v>119</v>
      </c>
      <c r="L40">
        <f>_xlfn.XLOOKUP(D40,[1]products!$A$2:$A$11,[1]products!$E$2:$E$11,"Not Found")</f>
        <v>22.4</v>
      </c>
      <c r="M40">
        <f t="shared" si="1"/>
        <v>56.2</v>
      </c>
      <c r="N40" t="str">
        <f>_xlfn.XLOOKUP(C40,[2]customers!$A$2:$A$81,[2]customers!$C$2:$C$81,"Not Found")</f>
        <v>South</v>
      </c>
      <c r="O40" t="str">
        <f>_xlfn.XLOOKUP(D40,[1]products!$A$2:$A$11,[1]products!$C$2:$C$11,"Not Found")</f>
        <v>Blender</v>
      </c>
      <c r="P40" t="str">
        <f>_xlfn.XLOOKUP(C40,[2]customers!$A$2:$A$81,[2]customers!$E$2:$E$81,"Not Found")</f>
        <v>Corporate</v>
      </c>
      <c r="Q40" t="str">
        <f t="shared" si="2"/>
        <v>July</v>
      </c>
    </row>
    <row r="41" spans="1:17" x14ac:dyDescent="0.3">
      <c r="A41" s="1" t="s">
        <v>102</v>
      </c>
      <c r="B41" s="2">
        <v>45751</v>
      </c>
      <c r="C41" s="1" t="s">
        <v>55</v>
      </c>
      <c r="D41" s="1" t="s">
        <v>15</v>
      </c>
      <c r="E41" s="1" t="s">
        <v>16</v>
      </c>
      <c r="F41" s="1">
        <v>4</v>
      </c>
      <c r="G41" s="1">
        <v>0</v>
      </c>
      <c r="H41" s="1" t="s">
        <v>22</v>
      </c>
      <c r="I41" s="1">
        <v>12</v>
      </c>
      <c r="J41">
        <f>_xlfn.XLOOKUP(D41,[1]products!$A$2:$A$11,[1]products!$D$2:$D$11,"Not Found")</f>
        <v>600</v>
      </c>
      <c r="K41">
        <f t="shared" si="0"/>
        <v>2400</v>
      </c>
      <c r="L41">
        <f>_xlfn.XLOOKUP(D41,[1]products!$A$2:$A$11,[1]products!$E$2:$E$11,"Not Found")</f>
        <v>120</v>
      </c>
      <c r="M41">
        <f t="shared" si="1"/>
        <v>1908</v>
      </c>
      <c r="N41" t="str">
        <f>_xlfn.XLOOKUP(C41,[2]customers!$A$2:$A$81,[2]customers!$C$2:$C$81,"Not Found")</f>
        <v>West</v>
      </c>
      <c r="O41" t="str">
        <f>_xlfn.XLOOKUP(D41,[1]products!$A$2:$A$11,[1]products!$C$2:$C$11,"Not Found")</f>
        <v>Smartphone</v>
      </c>
      <c r="P41" t="str">
        <f>_xlfn.XLOOKUP(C41,[2]customers!$A$2:$A$81,[2]customers!$E$2:$E$81,"Not Found")</f>
        <v>Consumer</v>
      </c>
      <c r="Q41" t="str">
        <f t="shared" si="2"/>
        <v>April</v>
      </c>
    </row>
    <row r="42" spans="1:17" x14ac:dyDescent="0.3">
      <c r="A42" s="1" t="s">
        <v>103</v>
      </c>
      <c r="B42" s="2">
        <v>45852</v>
      </c>
      <c r="C42" s="1" t="s">
        <v>104</v>
      </c>
      <c r="D42" s="1" t="s">
        <v>38</v>
      </c>
      <c r="E42" s="1" t="s">
        <v>12</v>
      </c>
      <c r="F42" s="1">
        <v>2</v>
      </c>
      <c r="G42" s="1">
        <v>0.1</v>
      </c>
      <c r="H42" s="1" t="s">
        <v>13</v>
      </c>
      <c r="I42" s="1">
        <v>15</v>
      </c>
      <c r="J42">
        <f>_xlfn.XLOOKUP(D42,[1]products!$A$2:$A$11,[1]products!$D$2:$D$11,"Not Found")</f>
        <v>210</v>
      </c>
      <c r="K42">
        <f t="shared" si="0"/>
        <v>378</v>
      </c>
      <c r="L42">
        <f>_xlfn.XLOOKUP(D42,[1]products!$A$2:$A$11,[1]products!$E$2:$E$11,"Not Found")</f>
        <v>52.5</v>
      </c>
      <c r="M42">
        <f t="shared" si="1"/>
        <v>258</v>
      </c>
      <c r="N42" t="str">
        <f>_xlfn.XLOOKUP(C42,[2]customers!$A$2:$A$81,[2]customers!$C$2:$C$81,"Not Found")</f>
        <v>East</v>
      </c>
      <c r="O42" t="str">
        <f>_xlfn.XLOOKUP(D42,[1]products!$A$2:$A$11,[1]products!$C$2:$C$11,"Not Found")</f>
        <v>Bookshelf</v>
      </c>
      <c r="P42" t="str">
        <f>_xlfn.XLOOKUP(C42,[2]customers!$A$2:$A$81,[2]customers!$E$2:$E$81,"Not Found")</f>
        <v>Home Office</v>
      </c>
      <c r="Q42" t="str">
        <f t="shared" si="2"/>
        <v>July</v>
      </c>
    </row>
    <row r="43" spans="1:17" x14ac:dyDescent="0.3">
      <c r="A43" s="1" t="s">
        <v>105</v>
      </c>
      <c r="B43" s="2">
        <v>45684</v>
      </c>
      <c r="C43" s="1" t="s">
        <v>106</v>
      </c>
      <c r="D43" s="1" t="s">
        <v>15</v>
      </c>
      <c r="E43" s="1" t="s">
        <v>12</v>
      </c>
      <c r="F43" s="1">
        <v>4</v>
      </c>
      <c r="G43" s="1">
        <v>0</v>
      </c>
      <c r="H43" s="1" t="s">
        <v>13</v>
      </c>
      <c r="I43" s="1">
        <v>10</v>
      </c>
      <c r="J43">
        <f>_xlfn.XLOOKUP(D43,[1]products!$A$2:$A$11,[1]products!$D$2:$D$11,"Not Found")</f>
        <v>600</v>
      </c>
      <c r="K43">
        <f t="shared" si="0"/>
        <v>2400</v>
      </c>
      <c r="L43">
        <f>_xlfn.XLOOKUP(D43,[1]products!$A$2:$A$11,[1]products!$E$2:$E$11,"Not Found")</f>
        <v>120</v>
      </c>
      <c r="M43">
        <f t="shared" si="1"/>
        <v>1910</v>
      </c>
      <c r="N43" t="str">
        <f>_xlfn.XLOOKUP(C43,[2]customers!$A$2:$A$81,[2]customers!$C$2:$C$81,"Not Found")</f>
        <v>North</v>
      </c>
      <c r="O43" t="str">
        <f>_xlfn.XLOOKUP(D43,[1]products!$A$2:$A$11,[1]products!$C$2:$C$11,"Not Found")</f>
        <v>Smartphone</v>
      </c>
      <c r="P43" t="str">
        <f>_xlfn.XLOOKUP(C43,[2]customers!$A$2:$A$81,[2]customers!$E$2:$E$81,"Not Found")</f>
        <v>Corporate</v>
      </c>
      <c r="Q43" t="str">
        <f t="shared" si="2"/>
        <v>January</v>
      </c>
    </row>
    <row r="44" spans="1:17" x14ac:dyDescent="0.3">
      <c r="A44" s="1" t="s">
        <v>107</v>
      </c>
      <c r="B44" s="2">
        <v>45668</v>
      </c>
      <c r="C44" s="1" t="s">
        <v>108</v>
      </c>
      <c r="D44" s="1" t="s">
        <v>25</v>
      </c>
      <c r="E44" s="1" t="s">
        <v>53</v>
      </c>
      <c r="F44" s="1">
        <v>1</v>
      </c>
      <c r="G44" s="1">
        <v>0</v>
      </c>
      <c r="H44" s="1" t="s">
        <v>13</v>
      </c>
      <c r="I44" s="1">
        <v>10</v>
      </c>
      <c r="J44">
        <f>_xlfn.XLOOKUP(D44,[1]products!$A$2:$A$11,[1]products!$D$2:$D$11,"Not Found")</f>
        <v>850</v>
      </c>
      <c r="K44">
        <f t="shared" si="0"/>
        <v>850</v>
      </c>
      <c r="L44">
        <f>_xlfn.XLOOKUP(D44,[1]products!$A$2:$A$11,[1]products!$E$2:$E$11,"Not Found")</f>
        <v>187</v>
      </c>
      <c r="M44">
        <f t="shared" si="1"/>
        <v>653</v>
      </c>
      <c r="N44" t="str">
        <f>_xlfn.XLOOKUP(C44,[2]customers!$A$2:$A$81,[2]customers!$C$2:$C$81,"Not Found")</f>
        <v>East</v>
      </c>
      <c r="O44" t="str">
        <f>_xlfn.XLOOKUP(D44,[1]products!$A$2:$A$11,[1]products!$C$2:$C$11,"Not Found")</f>
        <v>Laptop</v>
      </c>
      <c r="P44" t="str">
        <f>_xlfn.XLOOKUP(C44,[2]customers!$A$2:$A$81,[2]customers!$E$2:$E$81,"Not Found")</f>
        <v>Consumer</v>
      </c>
      <c r="Q44" t="str">
        <f t="shared" si="2"/>
        <v>January</v>
      </c>
    </row>
    <row r="45" spans="1:17" x14ac:dyDescent="0.3">
      <c r="A45" s="1" t="s">
        <v>109</v>
      </c>
      <c r="B45" s="2">
        <v>45769</v>
      </c>
      <c r="C45" s="1" t="s">
        <v>110</v>
      </c>
      <c r="D45" s="1" t="s">
        <v>74</v>
      </c>
      <c r="E45" s="1" t="s">
        <v>50</v>
      </c>
      <c r="F45" s="1">
        <v>4</v>
      </c>
      <c r="G45" s="1">
        <v>0</v>
      </c>
      <c r="H45" s="1" t="s">
        <v>13</v>
      </c>
      <c r="I45" s="1">
        <v>20</v>
      </c>
      <c r="J45">
        <f>_xlfn.XLOOKUP(D45,[1]products!$A$2:$A$11,[1]products!$D$2:$D$11,"Not Found")</f>
        <v>90</v>
      </c>
      <c r="K45">
        <f t="shared" si="0"/>
        <v>360</v>
      </c>
      <c r="L45">
        <f>_xlfn.XLOOKUP(D45,[1]products!$A$2:$A$11,[1]products!$E$2:$E$11,"Not Found")</f>
        <v>25.2</v>
      </c>
      <c r="M45">
        <f t="shared" si="1"/>
        <v>239.2</v>
      </c>
      <c r="N45" t="str">
        <f>_xlfn.XLOOKUP(C45,[2]customers!$A$2:$A$81,[2]customers!$C$2:$C$81,"Not Found")</f>
        <v>South</v>
      </c>
      <c r="O45" t="str">
        <f>_xlfn.XLOOKUP(D45,[1]products!$A$2:$A$11,[1]products!$C$2:$C$11,"Not Found")</f>
        <v>Headphones</v>
      </c>
      <c r="P45" t="str">
        <f>_xlfn.XLOOKUP(C45,[2]customers!$A$2:$A$81,[2]customers!$E$2:$E$81,"Not Found")</f>
        <v>Consumer</v>
      </c>
      <c r="Q45" t="str">
        <f t="shared" si="2"/>
        <v>April</v>
      </c>
    </row>
    <row r="46" spans="1:17" x14ac:dyDescent="0.3">
      <c r="A46" s="1" t="s">
        <v>111</v>
      </c>
      <c r="B46" s="2">
        <v>45716</v>
      </c>
      <c r="C46" s="1" t="s">
        <v>106</v>
      </c>
      <c r="D46" s="1" t="s">
        <v>38</v>
      </c>
      <c r="E46" s="1" t="s">
        <v>26</v>
      </c>
      <c r="F46" s="1">
        <v>2</v>
      </c>
      <c r="G46" s="1">
        <v>0.15</v>
      </c>
      <c r="H46" s="1" t="s">
        <v>13</v>
      </c>
      <c r="I46" s="1">
        <v>12</v>
      </c>
      <c r="J46">
        <f>_xlfn.XLOOKUP(D46,[1]products!$A$2:$A$11,[1]products!$D$2:$D$11,"Not Found")</f>
        <v>210</v>
      </c>
      <c r="K46">
        <f t="shared" si="0"/>
        <v>357</v>
      </c>
      <c r="L46">
        <f>_xlfn.XLOOKUP(D46,[1]products!$A$2:$A$11,[1]products!$E$2:$E$11,"Not Found")</f>
        <v>52.5</v>
      </c>
      <c r="M46">
        <f t="shared" si="1"/>
        <v>240</v>
      </c>
      <c r="N46" t="str">
        <f>_xlfn.XLOOKUP(C46,[2]customers!$A$2:$A$81,[2]customers!$C$2:$C$81,"Not Found")</f>
        <v>North</v>
      </c>
      <c r="O46" t="str">
        <f>_xlfn.XLOOKUP(D46,[1]products!$A$2:$A$11,[1]products!$C$2:$C$11,"Not Found")</f>
        <v>Bookshelf</v>
      </c>
      <c r="P46" t="str">
        <f>_xlfn.XLOOKUP(C46,[2]customers!$A$2:$A$81,[2]customers!$E$2:$E$81,"Not Found")</f>
        <v>Corporate</v>
      </c>
      <c r="Q46" t="str">
        <f t="shared" si="2"/>
        <v>February</v>
      </c>
    </row>
    <row r="47" spans="1:17" x14ac:dyDescent="0.3">
      <c r="A47" s="1" t="s">
        <v>112</v>
      </c>
      <c r="B47" s="2">
        <v>45850</v>
      </c>
      <c r="C47" s="1" t="s">
        <v>113</v>
      </c>
      <c r="D47" s="1" t="s">
        <v>71</v>
      </c>
      <c r="E47" s="1" t="s">
        <v>50</v>
      </c>
      <c r="F47" s="1">
        <v>1</v>
      </c>
      <c r="G47" s="1">
        <v>0.05</v>
      </c>
      <c r="H47" s="1" t="s">
        <v>13</v>
      </c>
      <c r="I47" s="1">
        <v>20</v>
      </c>
      <c r="J47">
        <f>_xlfn.XLOOKUP(D47,[1]products!$A$2:$A$11,[1]products!$D$2:$D$11,"Not Found")</f>
        <v>240</v>
      </c>
      <c r="K47">
        <f t="shared" si="0"/>
        <v>228</v>
      </c>
      <c r="L47">
        <f>_xlfn.XLOOKUP(D47,[1]products!$A$2:$A$11,[1]products!$E$2:$E$11,"Not Found")</f>
        <v>55.2</v>
      </c>
      <c r="M47">
        <f t="shared" si="1"/>
        <v>152.80000000000001</v>
      </c>
      <c r="N47" t="str">
        <f>_xlfn.XLOOKUP(C47,[2]customers!$A$2:$A$81,[2]customers!$C$2:$C$81,"Not Found")</f>
        <v>South</v>
      </c>
      <c r="O47" t="str">
        <f>_xlfn.XLOOKUP(D47,[1]products!$A$2:$A$11,[1]products!$C$2:$C$11,"Not Found")</f>
        <v>Vacuum Cleaner</v>
      </c>
      <c r="P47" t="str">
        <f>_xlfn.XLOOKUP(C47,[2]customers!$A$2:$A$81,[2]customers!$E$2:$E$81,"Not Found")</f>
        <v>Consumer</v>
      </c>
      <c r="Q47" t="str">
        <f t="shared" si="2"/>
        <v>July</v>
      </c>
    </row>
    <row r="48" spans="1:17" x14ac:dyDescent="0.3">
      <c r="A48" s="1" t="s">
        <v>114</v>
      </c>
      <c r="B48" s="2">
        <v>45812</v>
      </c>
      <c r="C48" s="1" t="s">
        <v>61</v>
      </c>
      <c r="D48" s="1" t="s">
        <v>15</v>
      </c>
      <c r="E48" s="1" t="s">
        <v>53</v>
      </c>
      <c r="F48" s="1">
        <v>5</v>
      </c>
      <c r="G48" s="1">
        <v>0</v>
      </c>
      <c r="H48" s="1" t="s">
        <v>13</v>
      </c>
      <c r="I48" s="1">
        <v>8</v>
      </c>
      <c r="J48">
        <f>_xlfn.XLOOKUP(D48,[1]products!$A$2:$A$11,[1]products!$D$2:$D$11,"Not Found")</f>
        <v>600</v>
      </c>
      <c r="K48">
        <f t="shared" si="0"/>
        <v>3000</v>
      </c>
      <c r="L48">
        <f>_xlfn.XLOOKUP(D48,[1]products!$A$2:$A$11,[1]products!$E$2:$E$11,"Not Found")</f>
        <v>120</v>
      </c>
      <c r="M48">
        <f t="shared" si="1"/>
        <v>2392</v>
      </c>
      <c r="N48" t="str">
        <f>_xlfn.XLOOKUP(C48,[2]customers!$A$2:$A$81,[2]customers!$C$2:$C$81,"Not Found")</f>
        <v>North</v>
      </c>
      <c r="O48" t="str">
        <f>_xlfn.XLOOKUP(D48,[1]products!$A$2:$A$11,[1]products!$C$2:$C$11,"Not Found")</f>
        <v>Smartphone</v>
      </c>
      <c r="P48" t="str">
        <f>_xlfn.XLOOKUP(C48,[2]customers!$A$2:$A$81,[2]customers!$E$2:$E$81,"Not Found")</f>
        <v>Corporate</v>
      </c>
      <c r="Q48" t="str">
        <f t="shared" si="2"/>
        <v>June</v>
      </c>
    </row>
    <row r="49" spans="1:17" x14ac:dyDescent="0.3">
      <c r="A49" s="1" t="s">
        <v>115</v>
      </c>
      <c r="B49" s="2">
        <v>45847</v>
      </c>
      <c r="C49" s="1" t="s">
        <v>68</v>
      </c>
      <c r="D49" s="1" t="s">
        <v>25</v>
      </c>
      <c r="E49" s="1" t="s">
        <v>16</v>
      </c>
      <c r="F49" s="1">
        <v>3</v>
      </c>
      <c r="G49" s="1">
        <v>0.15</v>
      </c>
      <c r="H49" s="1" t="s">
        <v>13</v>
      </c>
      <c r="I49" s="1">
        <v>18</v>
      </c>
      <c r="J49">
        <f>_xlfn.XLOOKUP(D49,[1]products!$A$2:$A$11,[1]products!$D$2:$D$11,"Not Found")</f>
        <v>850</v>
      </c>
      <c r="K49">
        <f t="shared" si="0"/>
        <v>2167.5</v>
      </c>
      <c r="L49">
        <f>_xlfn.XLOOKUP(D49,[1]products!$A$2:$A$11,[1]products!$E$2:$E$11,"Not Found")</f>
        <v>187</v>
      </c>
      <c r="M49">
        <f t="shared" si="1"/>
        <v>1588.5</v>
      </c>
      <c r="N49" t="str">
        <f>_xlfn.XLOOKUP(C49,[2]customers!$A$2:$A$81,[2]customers!$C$2:$C$81,"Not Found")</f>
        <v>West</v>
      </c>
      <c r="O49" t="str">
        <f>_xlfn.XLOOKUP(D49,[1]products!$A$2:$A$11,[1]products!$C$2:$C$11,"Not Found")</f>
        <v>Laptop</v>
      </c>
      <c r="P49" t="str">
        <f>_xlfn.XLOOKUP(C49,[2]customers!$A$2:$A$81,[2]customers!$E$2:$E$81,"Not Found")</f>
        <v>Corporate</v>
      </c>
      <c r="Q49" t="str">
        <f t="shared" si="2"/>
        <v>July</v>
      </c>
    </row>
    <row r="50" spans="1:17" x14ac:dyDescent="0.3">
      <c r="A50" s="1" t="s">
        <v>116</v>
      </c>
      <c r="B50" s="2">
        <v>45843</v>
      </c>
      <c r="C50" s="1" t="s">
        <v>30</v>
      </c>
      <c r="D50" s="1" t="s">
        <v>25</v>
      </c>
      <c r="E50" s="1" t="s">
        <v>50</v>
      </c>
      <c r="F50" s="1">
        <v>4</v>
      </c>
      <c r="G50" s="1">
        <v>0.1</v>
      </c>
      <c r="H50" s="1" t="s">
        <v>13</v>
      </c>
      <c r="I50" s="1">
        <v>20</v>
      </c>
      <c r="J50">
        <f>_xlfn.XLOOKUP(D50,[1]products!$A$2:$A$11,[1]products!$D$2:$D$11,"Not Found")</f>
        <v>850</v>
      </c>
      <c r="K50">
        <f t="shared" si="0"/>
        <v>3060</v>
      </c>
      <c r="L50">
        <f>_xlfn.XLOOKUP(D50,[1]products!$A$2:$A$11,[1]products!$E$2:$E$11,"Not Found")</f>
        <v>187</v>
      </c>
      <c r="M50">
        <f t="shared" si="1"/>
        <v>2292</v>
      </c>
      <c r="N50" t="str">
        <f>_xlfn.XLOOKUP(C50,[2]customers!$A$2:$A$81,[2]customers!$C$2:$C$81,"Not Found")</f>
        <v>West</v>
      </c>
      <c r="O50" t="str">
        <f>_xlfn.XLOOKUP(D50,[1]products!$A$2:$A$11,[1]products!$C$2:$C$11,"Not Found")</f>
        <v>Laptop</v>
      </c>
      <c r="P50" t="str">
        <f>_xlfn.XLOOKUP(C50,[2]customers!$A$2:$A$81,[2]customers!$E$2:$E$81,"Not Found")</f>
        <v>Home Office</v>
      </c>
      <c r="Q50" t="str">
        <f t="shared" si="2"/>
        <v>July</v>
      </c>
    </row>
    <row r="51" spans="1:17" x14ac:dyDescent="0.3">
      <c r="A51" s="1" t="s">
        <v>117</v>
      </c>
      <c r="B51" s="2">
        <v>45796</v>
      </c>
      <c r="C51" s="1" t="s">
        <v>92</v>
      </c>
      <c r="D51" s="1" t="s">
        <v>43</v>
      </c>
      <c r="E51" s="1" t="s">
        <v>53</v>
      </c>
      <c r="F51" s="1">
        <v>2</v>
      </c>
      <c r="G51" s="1">
        <v>0.15</v>
      </c>
      <c r="H51" s="1" t="s">
        <v>62</v>
      </c>
      <c r="I51" s="1">
        <v>18</v>
      </c>
      <c r="J51">
        <f>_xlfn.XLOOKUP(D51,[1]products!$A$2:$A$11,[1]products!$D$2:$D$11,"Not Found")</f>
        <v>160</v>
      </c>
      <c r="K51">
        <f t="shared" si="0"/>
        <v>272</v>
      </c>
      <c r="L51">
        <f>_xlfn.XLOOKUP(D51,[1]products!$A$2:$A$11,[1]products!$E$2:$E$11,"Not Found")</f>
        <v>38.4</v>
      </c>
      <c r="M51">
        <f t="shared" si="1"/>
        <v>177.2</v>
      </c>
      <c r="N51" t="str">
        <f>_xlfn.XLOOKUP(C51,[2]customers!$A$2:$A$81,[2]customers!$C$2:$C$81,"Not Found")</f>
        <v>South</v>
      </c>
      <c r="O51" t="str">
        <f>_xlfn.XLOOKUP(D51,[1]products!$A$2:$A$11,[1]products!$C$2:$C$11,"Not Found")</f>
        <v>Microwave</v>
      </c>
      <c r="P51" t="str">
        <f>_xlfn.XLOOKUP(C51,[2]customers!$A$2:$A$81,[2]customers!$E$2:$E$81,"Not Found")</f>
        <v>Corporate</v>
      </c>
      <c r="Q51" t="str">
        <f t="shared" si="2"/>
        <v>May</v>
      </c>
    </row>
    <row r="52" spans="1:17" x14ac:dyDescent="0.3">
      <c r="A52" s="1" t="s">
        <v>118</v>
      </c>
      <c r="B52" s="2">
        <v>45783</v>
      </c>
      <c r="C52" s="1" t="s">
        <v>119</v>
      </c>
      <c r="D52" s="1" t="s">
        <v>79</v>
      </c>
      <c r="E52" s="1" t="s">
        <v>16</v>
      </c>
      <c r="F52" s="1">
        <v>4</v>
      </c>
      <c r="G52" s="1">
        <v>0.15</v>
      </c>
      <c r="H52" s="1" t="s">
        <v>13</v>
      </c>
      <c r="I52" s="1">
        <v>12</v>
      </c>
      <c r="J52">
        <f>_xlfn.XLOOKUP(D52,[1]products!$A$2:$A$11,[1]products!$D$2:$D$11,"Not Found")</f>
        <v>70</v>
      </c>
      <c r="K52">
        <f t="shared" si="0"/>
        <v>238</v>
      </c>
      <c r="L52">
        <f>_xlfn.XLOOKUP(D52,[1]products!$A$2:$A$11,[1]products!$E$2:$E$11,"Not Found")</f>
        <v>22.4</v>
      </c>
      <c r="M52">
        <f t="shared" si="1"/>
        <v>136.4</v>
      </c>
      <c r="N52" t="str">
        <f>_xlfn.XLOOKUP(C52,[2]customers!$A$2:$A$81,[2]customers!$C$2:$C$81,"Not Found")</f>
        <v>West</v>
      </c>
      <c r="O52" t="str">
        <f>_xlfn.XLOOKUP(D52,[1]products!$A$2:$A$11,[1]products!$C$2:$C$11,"Not Found")</f>
        <v>Blender</v>
      </c>
      <c r="P52" t="str">
        <f>_xlfn.XLOOKUP(C52,[2]customers!$A$2:$A$81,[2]customers!$E$2:$E$81,"Not Found")</f>
        <v>Consumer</v>
      </c>
      <c r="Q52" t="str">
        <f t="shared" si="2"/>
        <v>May</v>
      </c>
    </row>
    <row r="53" spans="1:17" x14ac:dyDescent="0.3">
      <c r="A53" s="1" t="s">
        <v>120</v>
      </c>
      <c r="B53" s="2">
        <v>45852</v>
      </c>
      <c r="C53" s="1" t="s">
        <v>121</v>
      </c>
      <c r="D53" s="1" t="s">
        <v>11</v>
      </c>
      <c r="E53" s="1" t="s">
        <v>12</v>
      </c>
      <c r="F53" s="1">
        <v>4</v>
      </c>
      <c r="G53" s="1">
        <v>0.15</v>
      </c>
      <c r="H53" s="1" t="s">
        <v>13</v>
      </c>
      <c r="I53" s="1">
        <v>8</v>
      </c>
      <c r="J53">
        <f>_xlfn.XLOOKUP(D53,[1]products!$A$2:$A$11,[1]products!$D$2:$D$11,"Not Found")</f>
        <v>180</v>
      </c>
      <c r="K53">
        <f t="shared" si="0"/>
        <v>612</v>
      </c>
      <c r="L53">
        <f>_xlfn.XLOOKUP(D53,[1]products!$A$2:$A$11,[1]products!$E$2:$E$11,"Not Found")</f>
        <v>54</v>
      </c>
      <c r="M53">
        <f t="shared" si="1"/>
        <v>388</v>
      </c>
      <c r="N53" t="str">
        <f>_xlfn.XLOOKUP(C53,[2]customers!$A$2:$A$81,[2]customers!$C$2:$C$81,"Not Found")</f>
        <v>South</v>
      </c>
      <c r="O53" t="str">
        <f>_xlfn.XLOOKUP(D53,[1]products!$A$2:$A$11,[1]products!$C$2:$C$11,"Not Found")</f>
        <v>Office Chair</v>
      </c>
      <c r="P53" t="str">
        <f>_xlfn.XLOOKUP(C53,[2]customers!$A$2:$A$81,[2]customers!$E$2:$E$81,"Not Found")</f>
        <v>Consumer</v>
      </c>
      <c r="Q53" t="str">
        <f t="shared" si="2"/>
        <v>July</v>
      </c>
    </row>
    <row r="54" spans="1:17" x14ac:dyDescent="0.3">
      <c r="A54" s="1" t="s">
        <v>122</v>
      </c>
      <c r="B54" s="2">
        <v>45790</v>
      </c>
      <c r="C54" s="1" t="s">
        <v>123</v>
      </c>
      <c r="D54" s="1" t="s">
        <v>38</v>
      </c>
      <c r="E54" s="1" t="s">
        <v>12</v>
      </c>
      <c r="F54" s="1">
        <v>2</v>
      </c>
      <c r="G54" s="1">
        <v>0.1</v>
      </c>
      <c r="H54" s="1" t="s">
        <v>13</v>
      </c>
      <c r="I54" s="1">
        <v>12</v>
      </c>
      <c r="J54">
        <f>_xlfn.XLOOKUP(D54,[1]products!$A$2:$A$11,[1]products!$D$2:$D$11,"Not Found")</f>
        <v>210</v>
      </c>
      <c r="K54">
        <f t="shared" si="0"/>
        <v>378</v>
      </c>
      <c r="L54">
        <f>_xlfn.XLOOKUP(D54,[1]products!$A$2:$A$11,[1]products!$E$2:$E$11,"Not Found")</f>
        <v>52.5</v>
      </c>
      <c r="M54">
        <f t="shared" si="1"/>
        <v>261</v>
      </c>
      <c r="N54" t="str">
        <f>_xlfn.XLOOKUP(C54,[2]customers!$A$2:$A$81,[2]customers!$C$2:$C$81,"Not Found")</f>
        <v>East</v>
      </c>
      <c r="O54" t="str">
        <f>_xlfn.XLOOKUP(D54,[1]products!$A$2:$A$11,[1]products!$C$2:$C$11,"Not Found")</f>
        <v>Bookshelf</v>
      </c>
      <c r="P54" t="str">
        <f>_xlfn.XLOOKUP(C54,[2]customers!$A$2:$A$81,[2]customers!$E$2:$E$81,"Not Found")</f>
        <v>Consumer</v>
      </c>
      <c r="Q54" t="str">
        <f t="shared" si="2"/>
        <v>May</v>
      </c>
    </row>
    <row r="55" spans="1:17" x14ac:dyDescent="0.3">
      <c r="A55" s="1" t="s">
        <v>124</v>
      </c>
      <c r="B55" s="2">
        <v>45755</v>
      </c>
      <c r="C55" s="1" t="s">
        <v>57</v>
      </c>
      <c r="D55" s="1" t="s">
        <v>21</v>
      </c>
      <c r="E55" s="1" t="s">
        <v>16</v>
      </c>
      <c r="F55" s="1">
        <v>5</v>
      </c>
      <c r="G55" s="1">
        <v>0</v>
      </c>
      <c r="H55" s="1" t="s">
        <v>13</v>
      </c>
      <c r="I55" s="1">
        <v>10</v>
      </c>
      <c r="J55">
        <f>_xlfn.XLOOKUP(D55,[1]products!$A$2:$A$11,[1]products!$D$2:$D$11,"Not Found")</f>
        <v>320</v>
      </c>
      <c r="K55">
        <f t="shared" si="0"/>
        <v>1600</v>
      </c>
      <c r="L55">
        <f>_xlfn.XLOOKUP(D55,[1]products!$A$2:$A$11,[1]products!$E$2:$E$11,"Not Found")</f>
        <v>86.4</v>
      </c>
      <c r="M55">
        <f t="shared" si="1"/>
        <v>1158</v>
      </c>
      <c r="N55" t="str">
        <f>_xlfn.XLOOKUP(C55,[2]customers!$A$2:$A$81,[2]customers!$C$2:$C$81,"Not Found")</f>
        <v>South</v>
      </c>
      <c r="O55" t="str">
        <f>_xlfn.XLOOKUP(D55,[1]products!$A$2:$A$11,[1]products!$C$2:$C$11,"Not Found")</f>
        <v>Desk</v>
      </c>
      <c r="P55" t="str">
        <f>_xlfn.XLOOKUP(C55,[2]customers!$A$2:$A$81,[2]customers!$E$2:$E$81,"Not Found")</f>
        <v>Consumer</v>
      </c>
      <c r="Q55" t="str">
        <f t="shared" si="2"/>
        <v>April</v>
      </c>
    </row>
    <row r="56" spans="1:17" x14ac:dyDescent="0.3">
      <c r="A56" s="1" t="s">
        <v>125</v>
      </c>
      <c r="B56" s="2">
        <v>45988</v>
      </c>
      <c r="C56" s="1" t="s">
        <v>45</v>
      </c>
      <c r="D56" s="1" t="s">
        <v>79</v>
      </c>
      <c r="E56" s="1" t="s">
        <v>50</v>
      </c>
      <c r="F56" s="1">
        <v>5</v>
      </c>
      <c r="G56" s="1">
        <v>0</v>
      </c>
      <c r="H56" s="1" t="s">
        <v>13</v>
      </c>
      <c r="I56" s="1">
        <v>15</v>
      </c>
      <c r="J56">
        <f>_xlfn.XLOOKUP(D56,[1]products!$A$2:$A$11,[1]products!$D$2:$D$11,"Not Found")</f>
        <v>70</v>
      </c>
      <c r="K56">
        <f t="shared" si="0"/>
        <v>350</v>
      </c>
      <c r="L56">
        <f>_xlfn.XLOOKUP(D56,[1]products!$A$2:$A$11,[1]products!$E$2:$E$11,"Not Found")</f>
        <v>22.4</v>
      </c>
      <c r="M56">
        <f t="shared" si="1"/>
        <v>223</v>
      </c>
      <c r="N56" t="str">
        <f>_xlfn.XLOOKUP(C56,[2]customers!$A$2:$A$81,[2]customers!$C$2:$C$81,"Not Found")</f>
        <v>West</v>
      </c>
      <c r="O56" t="str">
        <f>_xlfn.XLOOKUP(D56,[1]products!$A$2:$A$11,[1]products!$C$2:$C$11,"Not Found")</f>
        <v>Blender</v>
      </c>
      <c r="P56" t="str">
        <f>_xlfn.XLOOKUP(C56,[2]customers!$A$2:$A$81,[2]customers!$E$2:$E$81,"Not Found")</f>
        <v>Home Office</v>
      </c>
      <c r="Q56" t="str">
        <f t="shared" si="2"/>
        <v>November</v>
      </c>
    </row>
    <row r="57" spans="1:17" x14ac:dyDescent="0.3">
      <c r="A57" s="1" t="s">
        <v>126</v>
      </c>
      <c r="B57" s="2">
        <v>45782</v>
      </c>
      <c r="C57" s="1" t="s">
        <v>96</v>
      </c>
      <c r="D57" s="1" t="s">
        <v>15</v>
      </c>
      <c r="E57" s="1" t="s">
        <v>12</v>
      </c>
      <c r="F57" s="1">
        <v>3</v>
      </c>
      <c r="G57" s="1">
        <v>0</v>
      </c>
      <c r="H57" s="1" t="s">
        <v>13</v>
      </c>
      <c r="I57" s="1">
        <v>20</v>
      </c>
      <c r="J57">
        <f>_xlfn.XLOOKUP(D57,[1]products!$A$2:$A$11,[1]products!$D$2:$D$11,"Not Found")</f>
        <v>600</v>
      </c>
      <c r="K57">
        <f t="shared" si="0"/>
        <v>1800</v>
      </c>
      <c r="L57">
        <f>_xlfn.XLOOKUP(D57,[1]products!$A$2:$A$11,[1]products!$E$2:$E$11,"Not Found")</f>
        <v>120</v>
      </c>
      <c r="M57">
        <f t="shared" si="1"/>
        <v>1420</v>
      </c>
      <c r="N57" t="str">
        <f>_xlfn.XLOOKUP(C57,[2]customers!$A$2:$A$81,[2]customers!$C$2:$C$81,"Not Found")</f>
        <v>West</v>
      </c>
      <c r="O57" t="str">
        <f>_xlfn.XLOOKUP(D57,[1]products!$A$2:$A$11,[1]products!$C$2:$C$11,"Not Found")</f>
        <v>Smartphone</v>
      </c>
      <c r="P57" t="str">
        <f>_xlfn.XLOOKUP(C57,[2]customers!$A$2:$A$81,[2]customers!$E$2:$E$81,"Not Found")</f>
        <v>Corporate</v>
      </c>
      <c r="Q57" t="str">
        <f t="shared" si="2"/>
        <v>May</v>
      </c>
    </row>
    <row r="58" spans="1:17" x14ac:dyDescent="0.3">
      <c r="A58" s="1" t="s">
        <v>127</v>
      </c>
      <c r="B58" s="2">
        <v>45875</v>
      </c>
      <c r="C58" s="1" t="s">
        <v>128</v>
      </c>
      <c r="D58" s="1" t="s">
        <v>38</v>
      </c>
      <c r="E58" s="1" t="s">
        <v>53</v>
      </c>
      <c r="F58" s="1">
        <v>4</v>
      </c>
      <c r="G58" s="1">
        <v>0.15</v>
      </c>
      <c r="H58" s="1" t="s">
        <v>13</v>
      </c>
      <c r="I58" s="1">
        <v>12</v>
      </c>
      <c r="J58">
        <f>_xlfn.XLOOKUP(D58,[1]products!$A$2:$A$11,[1]products!$D$2:$D$11,"Not Found")</f>
        <v>210</v>
      </c>
      <c r="K58">
        <f t="shared" si="0"/>
        <v>714</v>
      </c>
      <c r="L58">
        <f>_xlfn.XLOOKUP(D58,[1]products!$A$2:$A$11,[1]products!$E$2:$E$11,"Not Found")</f>
        <v>52.5</v>
      </c>
      <c r="M58">
        <f t="shared" si="1"/>
        <v>492</v>
      </c>
      <c r="N58" t="str">
        <f>_xlfn.XLOOKUP(C58,[2]customers!$A$2:$A$81,[2]customers!$C$2:$C$81,"Not Found")</f>
        <v>South</v>
      </c>
      <c r="O58" t="str">
        <f>_xlfn.XLOOKUP(D58,[1]products!$A$2:$A$11,[1]products!$C$2:$C$11,"Not Found")</f>
        <v>Bookshelf</v>
      </c>
      <c r="P58" t="str">
        <f>_xlfn.XLOOKUP(C58,[2]customers!$A$2:$A$81,[2]customers!$E$2:$E$81,"Not Found")</f>
        <v>Home Office</v>
      </c>
      <c r="Q58" t="str">
        <f t="shared" si="2"/>
        <v>August</v>
      </c>
    </row>
    <row r="59" spans="1:17" x14ac:dyDescent="0.3">
      <c r="A59" s="1" t="s">
        <v>129</v>
      </c>
      <c r="B59" s="2">
        <v>45719</v>
      </c>
      <c r="C59" s="1" t="s">
        <v>130</v>
      </c>
      <c r="D59" s="1" t="s">
        <v>79</v>
      </c>
      <c r="E59" s="1" t="s">
        <v>26</v>
      </c>
      <c r="F59" s="1">
        <v>3</v>
      </c>
      <c r="G59" s="1">
        <v>0.05</v>
      </c>
      <c r="H59" s="1" t="s">
        <v>13</v>
      </c>
      <c r="I59" s="1">
        <v>12</v>
      </c>
      <c r="J59">
        <f>_xlfn.XLOOKUP(D59,[1]products!$A$2:$A$11,[1]products!$D$2:$D$11,"Not Found")</f>
        <v>70</v>
      </c>
      <c r="K59">
        <f t="shared" si="0"/>
        <v>199.5</v>
      </c>
      <c r="L59">
        <f>_xlfn.XLOOKUP(D59,[1]products!$A$2:$A$11,[1]products!$E$2:$E$11,"Not Found")</f>
        <v>22.4</v>
      </c>
      <c r="M59">
        <f t="shared" si="1"/>
        <v>120.30000000000001</v>
      </c>
      <c r="N59" t="str">
        <f>_xlfn.XLOOKUP(C59,[2]customers!$A$2:$A$81,[2]customers!$C$2:$C$81,"Not Found")</f>
        <v>North</v>
      </c>
      <c r="O59" t="str">
        <f>_xlfn.XLOOKUP(D59,[1]products!$A$2:$A$11,[1]products!$C$2:$C$11,"Not Found")</f>
        <v>Blender</v>
      </c>
      <c r="P59" t="str">
        <f>_xlfn.XLOOKUP(C59,[2]customers!$A$2:$A$81,[2]customers!$E$2:$E$81,"Not Found")</f>
        <v>Consumer</v>
      </c>
      <c r="Q59" t="str">
        <f t="shared" si="2"/>
        <v>March</v>
      </c>
    </row>
    <row r="60" spans="1:17" x14ac:dyDescent="0.3">
      <c r="A60" s="1" t="s">
        <v>131</v>
      </c>
      <c r="B60" s="2">
        <v>45905</v>
      </c>
      <c r="C60" s="1" t="s">
        <v>64</v>
      </c>
      <c r="D60" s="1" t="s">
        <v>35</v>
      </c>
      <c r="E60" s="1" t="s">
        <v>12</v>
      </c>
      <c r="F60" s="1">
        <v>2</v>
      </c>
      <c r="G60" s="1">
        <v>0</v>
      </c>
      <c r="H60" s="1" t="s">
        <v>13</v>
      </c>
      <c r="I60" s="1">
        <v>20</v>
      </c>
      <c r="J60">
        <f>_xlfn.XLOOKUP(D60,[1]products!$A$2:$A$11,[1]products!$D$2:$D$11,"Not Found")</f>
        <v>130</v>
      </c>
      <c r="K60">
        <f t="shared" si="0"/>
        <v>260</v>
      </c>
      <c r="L60">
        <f>_xlfn.XLOOKUP(D60,[1]products!$A$2:$A$11,[1]products!$E$2:$E$11,"Not Found")</f>
        <v>33.799999999999997</v>
      </c>
      <c r="M60">
        <f t="shared" si="1"/>
        <v>172.4</v>
      </c>
      <c r="N60" t="str">
        <f>_xlfn.XLOOKUP(C60,[2]customers!$A$2:$A$81,[2]customers!$C$2:$C$81,"Not Found")</f>
        <v>West</v>
      </c>
      <c r="O60" t="str">
        <f>_xlfn.XLOOKUP(D60,[1]products!$A$2:$A$11,[1]products!$C$2:$C$11,"Not Found")</f>
        <v>Air Fryer</v>
      </c>
      <c r="P60" t="str">
        <f>_xlfn.XLOOKUP(C60,[2]customers!$A$2:$A$81,[2]customers!$E$2:$E$81,"Not Found")</f>
        <v>Corporate</v>
      </c>
      <c r="Q60" t="str">
        <f t="shared" si="2"/>
        <v>September</v>
      </c>
    </row>
    <row r="61" spans="1:17" x14ac:dyDescent="0.3">
      <c r="A61" s="1" t="s">
        <v>132</v>
      </c>
      <c r="B61" s="2">
        <v>45757</v>
      </c>
      <c r="C61" s="1" t="s">
        <v>133</v>
      </c>
      <c r="D61" s="1" t="s">
        <v>35</v>
      </c>
      <c r="E61" s="1" t="s">
        <v>12</v>
      </c>
      <c r="F61" s="1">
        <v>5</v>
      </c>
      <c r="G61" s="1">
        <v>0.05</v>
      </c>
      <c r="H61" s="1" t="s">
        <v>62</v>
      </c>
      <c r="I61" s="1">
        <v>10</v>
      </c>
      <c r="J61">
        <f>_xlfn.XLOOKUP(D61,[1]products!$A$2:$A$11,[1]products!$D$2:$D$11,"Not Found")</f>
        <v>130</v>
      </c>
      <c r="K61">
        <f t="shared" si="0"/>
        <v>617.5</v>
      </c>
      <c r="L61">
        <f>_xlfn.XLOOKUP(D61,[1]products!$A$2:$A$11,[1]products!$E$2:$E$11,"Not Found")</f>
        <v>33.799999999999997</v>
      </c>
      <c r="M61">
        <f t="shared" si="1"/>
        <v>438.5</v>
      </c>
      <c r="N61" t="str">
        <f>_xlfn.XLOOKUP(C61,[2]customers!$A$2:$A$81,[2]customers!$C$2:$C$81,"Not Found")</f>
        <v>South</v>
      </c>
      <c r="O61" t="str">
        <f>_xlfn.XLOOKUP(D61,[1]products!$A$2:$A$11,[1]products!$C$2:$C$11,"Not Found")</f>
        <v>Air Fryer</v>
      </c>
      <c r="P61" t="str">
        <f>_xlfn.XLOOKUP(C61,[2]customers!$A$2:$A$81,[2]customers!$E$2:$E$81,"Not Found")</f>
        <v>Home Office</v>
      </c>
      <c r="Q61" t="str">
        <f t="shared" si="2"/>
        <v>April</v>
      </c>
    </row>
    <row r="62" spans="1:17" x14ac:dyDescent="0.3">
      <c r="A62" s="1" t="s">
        <v>134</v>
      </c>
      <c r="B62" s="2">
        <v>45722</v>
      </c>
      <c r="C62" s="1" t="s">
        <v>40</v>
      </c>
      <c r="D62" s="1" t="s">
        <v>74</v>
      </c>
      <c r="E62" s="1" t="s">
        <v>12</v>
      </c>
      <c r="F62" s="1">
        <v>3</v>
      </c>
      <c r="G62" s="1">
        <v>0</v>
      </c>
      <c r="H62" s="1" t="s">
        <v>13</v>
      </c>
      <c r="I62" s="1">
        <v>8</v>
      </c>
      <c r="J62">
        <f>_xlfn.XLOOKUP(D62,[1]products!$A$2:$A$11,[1]products!$D$2:$D$11,"Not Found")</f>
        <v>90</v>
      </c>
      <c r="K62">
        <f t="shared" si="0"/>
        <v>270</v>
      </c>
      <c r="L62">
        <f>_xlfn.XLOOKUP(D62,[1]products!$A$2:$A$11,[1]products!$E$2:$E$11,"Not Found")</f>
        <v>25.2</v>
      </c>
      <c r="M62">
        <f t="shared" si="1"/>
        <v>186.4</v>
      </c>
      <c r="N62" t="str">
        <f>_xlfn.XLOOKUP(C62,[2]customers!$A$2:$A$81,[2]customers!$C$2:$C$81,"Not Found")</f>
        <v>North</v>
      </c>
      <c r="O62" t="str">
        <f>_xlfn.XLOOKUP(D62,[1]products!$A$2:$A$11,[1]products!$C$2:$C$11,"Not Found")</f>
        <v>Headphones</v>
      </c>
      <c r="P62" t="str">
        <f>_xlfn.XLOOKUP(C62,[2]customers!$A$2:$A$81,[2]customers!$E$2:$E$81,"Not Found")</f>
        <v>Home Office</v>
      </c>
      <c r="Q62" t="str">
        <f t="shared" si="2"/>
        <v>March</v>
      </c>
    </row>
    <row r="63" spans="1:17" x14ac:dyDescent="0.3">
      <c r="A63" s="1" t="s">
        <v>135</v>
      </c>
      <c r="B63" s="2">
        <v>45909</v>
      </c>
      <c r="C63" s="1" t="s">
        <v>136</v>
      </c>
      <c r="D63" s="1" t="s">
        <v>35</v>
      </c>
      <c r="E63" s="1" t="s">
        <v>16</v>
      </c>
      <c r="F63" s="1">
        <v>3</v>
      </c>
      <c r="G63" s="1">
        <v>0</v>
      </c>
      <c r="H63" s="1" t="s">
        <v>13</v>
      </c>
      <c r="I63" s="1">
        <v>8</v>
      </c>
      <c r="J63">
        <f>_xlfn.XLOOKUP(D63,[1]products!$A$2:$A$11,[1]products!$D$2:$D$11,"Not Found")</f>
        <v>130</v>
      </c>
      <c r="K63">
        <f t="shared" si="0"/>
        <v>390</v>
      </c>
      <c r="L63">
        <f>_xlfn.XLOOKUP(D63,[1]products!$A$2:$A$11,[1]products!$E$2:$E$11,"Not Found")</f>
        <v>33.799999999999997</v>
      </c>
      <c r="M63">
        <f t="shared" si="1"/>
        <v>280.60000000000002</v>
      </c>
      <c r="N63" t="str">
        <f>_xlfn.XLOOKUP(C63,[2]customers!$A$2:$A$81,[2]customers!$C$2:$C$81,"Not Found")</f>
        <v>East</v>
      </c>
      <c r="O63" t="str">
        <f>_xlfn.XLOOKUP(D63,[1]products!$A$2:$A$11,[1]products!$C$2:$C$11,"Not Found")</f>
        <v>Air Fryer</v>
      </c>
      <c r="P63" t="str">
        <f>_xlfn.XLOOKUP(C63,[2]customers!$A$2:$A$81,[2]customers!$E$2:$E$81,"Not Found")</f>
        <v>Consumer</v>
      </c>
      <c r="Q63" t="str">
        <f t="shared" si="2"/>
        <v>September</v>
      </c>
    </row>
    <row r="64" spans="1:17" x14ac:dyDescent="0.3">
      <c r="A64" s="1" t="s">
        <v>137</v>
      </c>
      <c r="B64" s="2">
        <v>45752</v>
      </c>
      <c r="C64" s="1" t="s">
        <v>59</v>
      </c>
      <c r="D64" s="1" t="s">
        <v>21</v>
      </c>
      <c r="E64" s="1" t="s">
        <v>16</v>
      </c>
      <c r="F64" s="1">
        <v>4</v>
      </c>
      <c r="G64" s="1">
        <v>0.1</v>
      </c>
      <c r="H64" s="1" t="s">
        <v>13</v>
      </c>
      <c r="I64" s="1">
        <v>12</v>
      </c>
      <c r="J64">
        <f>_xlfn.XLOOKUP(D64,[1]products!$A$2:$A$11,[1]products!$D$2:$D$11,"Not Found")</f>
        <v>320</v>
      </c>
      <c r="K64">
        <f t="shared" si="0"/>
        <v>1152</v>
      </c>
      <c r="L64">
        <f>_xlfn.XLOOKUP(D64,[1]products!$A$2:$A$11,[1]products!$E$2:$E$11,"Not Found")</f>
        <v>86.4</v>
      </c>
      <c r="M64">
        <f t="shared" si="1"/>
        <v>794.4</v>
      </c>
      <c r="N64" t="str">
        <f>_xlfn.XLOOKUP(C64,[2]customers!$A$2:$A$81,[2]customers!$C$2:$C$81,"Not Found")</f>
        <v>West</v>
      </c>
      <c r="O64" t="str">
        <f>_xlfn.XLOOKUP(D64,[1]products!$A$2:$A$11,[1]products!$C$2:$C$11,"Not Found")</f>
        <v>Desk</v>
      </c>
      <c r="P64" t="str">
        <f>_xlfn.XLOOKUP(C64,[2]customers!$A$2:$A$81,[2]customers!$E$2:$E$81,"Not Found")</f>
        <v>Corporate</v>
      </c>
      <c r="Q64" t="str">
        <f t="shared" si="2"/>
        <v>April</v>
      </c>
    </row>
    <row r="65" spans="1:17" x14ac:dyDescent="0.3">
      <c r="A65" s="1" t="s">
        <v>138</v>
      </c>
      <c r="B65" s="2">
        <v>45953</v>
      </c>
      <c r="C65" s="1" t="s">
        <v>119</v>
      </c>
      <c r="D65" s="1" t="s">
        <v>15</v>
      </c>
      <c r="E65" s="1" t="s">
        <v>16</v>
      </c>
      <c r="F65" s="1">
        <v>1</v>
      </c>
      <c r="G65" s="1">
        <v>0.1</v>
      </c>
      <c r="H65" s="1" t="s">
        <v>13</v>
      </c>
      <c r="I65" s="1">
        <v>10</v>
      </c>
      <c r="J65">
        <f>_xlfn.XLOOKUP(D65,[1]products!$A$2:$A$11,[1]products!$D$2:$D$11,"Not Found")</f>
        <v>600</v>
      </c>
      <c r="K65">
        <f t="shared" si="0"/>
        <v>540</v>
      </c>
      <c r="L65">
        <f>_xlfn.XLOOKUP(D65,[1]products!$A$2:$A$11,[1]products!$E$2:$E$11,"Not Found")</f>
        <v>120</v>
      </c>
      <c r="M65">
        <f t="shared" si="1"/>
        <v>410</v>
      </c>
      <c r="N65" t="str">
        <f>_xlfn.XLOOKUP(C65,[2]customers!$A$2:$A$81,[2]customers!$C$2:$C$81,"Not Found")</f>
        <v>West</v>
      </c>
      <c r="O65" t="str">
        <f>_xlfn.XLOOKUP(D65,[1]products!$A$2:$A$11,[1]products!$C$2:$C$11,"Not Found")</f>
        <v>Smartphone</v>
      </c>
      <c r="P65" t="str">
        <f>_xlfn.XLOOKUP(C65,[2]customers!$A$2:$A$81,[2]customers!$E$2:$E$81,"Not Found")</f>
        <v>Consumer</v>
      </c>
      <c r="Q65" t="str">
        <f t="shared" si="2"/>
        <v>October</v>
      </c>
    </row>
    <row r="66" spans="1:17" x14ac:dyDescent="0.3">
      <c r="A66" s="1" t="s">
        <v>139</v>
      </c>
      <c r="B66" s="2">
        <v>45718</v>
      </c>
      <c r="C66" s="1" t="s">
        <v>92</v>
      </c>
      <c r="D66" s="1" t="s">
        <v>71</v>
      </c>
      <c r="E66" s="1" t="s">
        <v>53</v>
      </c>
      <c r="F66" s="1">
        <v>3</v>
      </c>
      <c r="G66" s="1">
        <v>0</v>
      </c>
      <c r="H66" s="1" t="s">
        <v>62</v>
      </c>
      <c r="I66" s="1">
        <v>15</v>
      </c>
      <c r="J66">
        <f>_xlfn.XLOOKUP(D66,[1]products!$A$2:$A$11,[1]products!$D$2:$D$11,"Not Found")</f>
        <v>240</v>
      </c>
      <c r="K66">
        <f t="shared" si="0"/>
        <v>720</v>
      </c>
      <c r="L66">
        <f>_xlfn.XLOOKUP(D66,[1]products!$A$2:$A$11,[1]products!$E$2:$E$11,"Not Found")</f>
        <v>55.2</v>
      </c>
      <c r="M66">
        <f t="shared" si="1"/>
        <v>539.4</v>
      </c>
      <c r="N66" t="str">
        <f>_xlfn.XLOOKUP(C66,[2]customers!$A$2:$A$81,[2]customers!$C$2:$C$81,"Not Found")</f>
        <v>South</v>
      </c>
      <c r="O66" t="str">
        <f>_xlfn.XLOOKUP(D66,[1]products!$A$2:$A$11,[1]products!$C$2:$C$11,"Not Found")</f>
        <v>Vacuum Cleaner</v>
      </c>
      <c r="P66" t="str">
        <f>_xlfn.XLOOKUP(C66,[2]customers!$A$2:$A$81,[2]customers!$E$2:$E$81,"Not Found")</f>
        <v>Corporate</v>
      </c>
      <c r="Q66" t="str">
        <f t="shared" si="2"/>
        <v>March</v>
      </c>
    </row>
    <row r="67" spans="1:17" x14ac:dyDescent="0.3">
      <c r="A67" s="1" t="s">
        <v>140</v>
      </c>
      <c r="B67" s="2">
        <v>45852</v>
      </c>
      <c r="C67" s="1" t="s">
        <v>141</v>
      </c>
      <c r="D67" s="1" t="s">
        <v>71</v>
      </c>
      <c r="E67" s="1" t="s">
        <v>50</v>
      </c>
      <c r="F67" s="1">
        <v>5</v>
      </c>
      <c r="G67" s="1">
        <v>0</v>
      </c>
      <c r="H67" s="1" t="s">
        <v>13</v>
      </c>
      <c r="I67" s="1">
        <v>15</v>
      </c>
      <c r="J67">
        <f>_xlfn.XLOOKUP(D67,[1]products!$A$2:$A$11,[1]products!$D$2:$D$11,"Not Found")</f>
        <v>240</v>
      </c>
      <c r="K67">
        <f t="shared" ref="K67:K130" si="3">F67*J67*(1-G67 )</f>
        <v>1200</v>
      </c>
      <c r="L67">
        <f>_xlfn.XLOOKUP(D67,[1]products!$A$2:$A$11,[1]products!$E$2:$E$11,"Not Found")</f>
        <v>55.2</v>
      </c>
      <c r="M67">
        <f t="shared" ref="M67:M130" si="4">K67-(F67*L67)-I67</f>
        <v>909</v>
      </c>
      <c r="N67" t="str">
        <f>_xlfn.XLOOKUP(C67,[2]customers!$A$2:$A$81,[2]customers!$C$2:$C$81,"Not Found")</f>
        <v>South</v>
      </c>
      <c r="O67" t="str">
        <f>_xlfn.XLOOKUP(D67,[1]products!$A$2:$A$11,[1]products!$C$2:$C$11,"Not Found")</f>
        <v>Vacuum Cleaner</v>
      </c>
      <c r="P67" t="str">
        <f>_xlfn.XLOOKUP(C67,[2]customers!$A$2:$A$81,[2]customers!$E$2:$E$81,"Not Found")</f>
        <v>Home Office</v>
      </c>
      <c r="Q67" t="str">
        <f t="shared" ref="Q67:Q130" si="5">TEXT(B67,"mmmm")</f>
        <v>July</v>
      </c>
    </row>
    <row r="68" spans="1:17" x14ac:dyDescent="0.3">
      <c r="A68" s="1" t="s">
        <v>142</v>
      </c>
      <c r="B68" s="2">
        <v>45688</v>
      </c>
      <c r="C68" s="1" t="s">
        <v>143</v>
      </c>
      <c r="D68" s="1" t="s">
        <v>71</v>
      </c>
      <c r="E68" s="1" t="s">
        <v>53</v>
      </c>
      <c r="F68" s="1">
        <v>4</v>
      </c>
      <c r="G68" s="1">
        <v>0.05</v>
      </c>
      <c r="H68" s="1" t="s">
        <v>13</v>
      </c>
      <c r="I68" s="1">
        <v>20</v>
      </c>
      <c r="J68">
        <f>_xlfn.XLOOKUP(D68,[1]products!$A$2:$A$11,[1]products!$D$2:$D$11,"Not Found")</f>
        <v>240</v>
      </c>
      <c r="K68">
        <f t="shared" si="3"/>
        <v>912</v>
      </c>
      <c r="L68">
        <f>_xlfn.XLOOKUP(D68,[1]products!$A$2:$A$11,[1]products!$E$2:$E$11,"Not Found")</f>
        <v>55.2</v>
      </c>
      <c r="M68">
        <f t="shared" si="4"/>
        <v>671.2</v>
      </c>
      <c r="N68" t="str">
        <f>_xlfn.XLOOKUP(C68,[2]customers!$A$2:$A$81,[2]customers!$C$2:$C$81,"Not Found")</f>
        <v>East</v>
      </c>
      <c r="O68" t="str">
        <f>_xlfn.XLOOKUP(D68,[1]products!$A$2:$A$11,[1]products!$C$2:$C$11,"Not Found")</f>
        <v>Vacuum Cleaner</v>
      </c>
      <c r="P68" t="str">
        <f>_xlfn.XLOOKUP(C68,[2]customers!$A$2:$A$81,[2]customers!$E$2:$E$81,"Not Found")</f>
        <v>Home Office</v>
      </c>
      <c r="Q68" t="str">
        <f t="shared" si="5"/>
        <v>January</v>
      </c>
    </row>
    <row r="69" spans="1:17" x14ac:dyDescent="0.3">
      <c r="A69" s="1" t="s">
        <v>144</v>
      </c>
      <c r="B69" s="2">
        <v>45738</v>
      </c>
      <c r="C69" s="1" t="s">
        <v>145</v>
      </c>
      <c r="D69" s="1" t="s">
        <v>11</v>
      </c>
      <c r="E69" s="1" t="s">
        <v>26</v>
      </c>
      <c r="F69" s="1">
        <v>2</v>
      </c>
      <c r="G69" s="1">
        <v>0.05</v>
      </c>
      <c r="H69" s="1" t="s">
        <v>13</v>
      </c>
      <c r="I69" s="1">
        <v>10</v>
      </c>
      <c r="J69">
        <f>_xlfn.XLOOKUP(D69,[1]products!$A$2:$A$11,[1]products!$D$2:$D$11,"Not Found")</f>
        <v>180</v>
      </c>
      <c r="K69">
        <f t="shared" si="3"/>
        <v>342</v>
      </c>
      <c r="L69">
        <f>_xlfn.XLOOKUP(D69,[1]products!$A$2:$A$11,[1]products!$E$2:$E$11,"Not Found")</f>
        <v>54</v>
      </c>
      <c r="M69">
        <f t="shared" si="4"/>
        <v>224</v>
      </c>
      <c r="N69" t="str">
        <f>_xlfn.XLOOKUP(C69,[2]customers!$A$2:$A$81,[2]customers!$C$2:$C$81,"Not Found")</f>
        <v>East</v>
      </c>
      <c r="O69" t="str">
        <f>_xlfn.XLOOKUP(D69,[1]products!$A$2:$A$11,[1]products!$C$2:$C$11,"Not Found")</f>
        <v>Office Chair</v>
      </c>
      <c r="P69" t="str">
        <f>_xlfn.XLOOKUP(C69,[2]customers!$A$2:$A$81,[2]customers!$E$2:$E$81,"Not Found")</f>
        <v>Home Office</v>
      </c>
      <c r="Q69" t="str">
        <f t="shared" si="5"/>
        <v>March</v>
      </c>
    </row>
    <row r="70" spans="1:17" x14ac:dyDescent="0.3">
      <c r="A70" s="1" t="s">
        <v>146</v>
      </c>
      <c r="B70" s="2">
        <v>46010</v>
      </c>
      <c r="C70" s="1" t="s">
        <v>147</v>
      </c>
      <c r="D70" s="1" t="s">
        <v>15</v>
      </c>
      <c r="E70" s="1" t="s">
        <v>53</v>
      </c>
      <c r="F70" s="1">
        <v>2</v>
      </c>
      <c r="G70" s="1">
        <v>0</v>
      </c>
      <c r="H70" s="1" t="s">
        <v>13</v>
      </c>
      <c r="I70" s="1">
        <v>15</v>
      </c>
      <c r="J70">
        <f>_xlfn.XLOOKUP(D70,[1]products!$A$2:$A$11,[1]products!$D$2:$D$11,"Not Found")</f>
        <v>600</v>
      </c>
      <c r="K70">
        <f t="shared" si="3"/>
        <v>1200</v>
      </c>
      <c r="L70">
        <f>_xlfn.XLOOKUP(D70,[1]products!$A$2:$A$11,[1]products!$E$2:$E$11,"Not Found")</f>
        <v>120</v>
      </c>
      <c r="M70">
        <f t="shared" si="4"/>
        <v>945</v>
      </c>
      <c r="N70" t="str">
        <f>_xlfn.XLOOKUP(C70,[2]customers!$A$2:$A$81,[2]customers!$C$2:$C$81,"Not Found")</f>
        <v>North</v>
      </c>
      <c r="O70" t="str">
        <f>_xlfn.XLOOKUP(D70,[1]products!$A$2:$A$11,[1]products!$C$2:$C$11,"Not Found")</f>
        <v>Smartphone</v>
      </c>
      <c r="P70" t="str">
        <f>_xlfn.XLOOKUP(C70,[2]customers!$A$2:$A$81,[2]customers!$E$2:$E$81,"Not Found")</f>
        <v>Consumer</v>
      </c>
      <c r="Q70" t="str">
        <f t="shared" si="5"/>
        <v>December</v>
      </c>
    </row>
    <row r="71" spans="1:17" x14ac:dyDescent="0.3">
      <c r="A71" s="1" t="s">
        <v>148</v>
      </c>
      <c r="B71" s="2">
        <v>46017</v>
      </c>
      <c r="C71" s="1" t="s">
        <v>66</v>
      </c>
      <c r="D71" s="1" t="s">
        <v>25</v>
      </c>
      <c r="E71" s="1" t="s">
        <v>50</v>
      </c>
      <c r="F71" s="1">
        <v>2</v>
      </c>
      <c r="G71" s="1">
        <v>0.05</v>
      </c>
      <c r="H71" s="1" t="s">
        <v>13</v>
      </c>
      <c r="I71" s="1">
        <v>8</v>
      </c>
      <c r="J71">
        <f>_xlfn.XLOOKUP(D71,[1]products!$A$2:$A$11,[1]products!$D$2:$D$11,"Not Found")</f>
        <v>850</v>
      </c>
      <c r="K71">
        <f t="shared" si="3"/>
        <v>1615</v>
      </c>
      <c r="L71">
        <f>_xlfn.XLOOKUP(D71,[1]products!$A$2:$A$11,[1]products!$E$2:$E$11,"Not Found")</f>
        <v>187</v>
      </c>
      <c r="M71">
        <f t="shared" si="4"/>
        <v>1233</v>
      </c>
      <c r="N71" t="str">
        <f>_xlfn.XLOOKUP(C71,[2]customers!$A$2:$A$81,[2]customers!$C$2:$C$81,"Not Found")</f>
        <v>South</v>
      </c>
      <c r="O71" t="str">
        <f>_xlfn.XLOOKUP(D71,[1]products!$A$2:$A$11,[1]products!$C$2:$C$11,"Not Found")</f>
        <v>Laptop</v>
      </c>
      <c r="P71" t="str">
        <f>_xlfn.XLOOKUP(C71,[2]customers!$A$2:$A$81,[2]customers!$E$2:$E$81,"Not Found")</f>
        <v>Consumer</v>
      </c>
      <c r="Q71" t="str">
        <f t="shared" si="5"/>
        <v>December</v>
      </c>
    </row>
    <row r="72" spans="1:17" x14ac:dyDescent="0.3">
      <c r="A72" s="1" t="s">
        <v>149</v>
      </c>
      <c r="B72" s="2">
        <v>45936</v>
      </c>
      <c r="C72" s="1" t="s">
        <v>150</v>
      </c>
      <c r="D72" s="1" t="s">
        <v>21</v>
      </c>
      <c r="E72" s="1" t="s">
        <v>26</v>
      </c>
      <c r="F72" s="1">
        <v>5</v>
      </c>
      <c r="G72" s="1">
        <v>0</v>
      </c>
      <c r="H72" s="1" t="s">
        <v>13</v>
      </c>
      <c r="I72" s="1">
        <v>20</v>
      </c>
      <c r="J72">
        <f>_xlfn.XLOOKUP(D72,[1]products!$A$2:$A$11,[1]products!$D$2:$D$11,"Not Found")</f>
        <v>320</v>
      </c>
      <c r="K72">
        <f t="shared" si="3"/>
        <v>1600</v>
      </c>
      <c r="L72">
        <f>_xlfn.XLOOKUP(D72,[1]products!$A$2:$A$11,[1]products!$E$2:$E$11,"Not Found")</f>
        <v>86.4</v>
      </c>
      <c r="M72">
        <f t="shared" si="4"/>
        <v>1148</v>
      </c>
      <c r="N72" t="str">
        <f>_xlfn.XLOOKUP(C72,[2]customers!$A$2:$A$81,[2]customers!$C$2:$C$81,"Not Found")</f>
        <v>North</v>
      </c>
      <c r="O72" t="str">
        <f>_xlfn.XLOOKUP(D72,[1]products!$A$2:$A$11,[1]products!$C$2:$C$11,"Not Found")</f>
        <v>Desk</v>
      </c>
      <c r="P72" t="str">
        <f>_xlfn.XLOOKUP(C72,[2]customers!$A$2:$A$81,[2]customers!$E$2:$E$81,"Not Found")</f>
        <v>Consumer</v>
      </c>
      <c r="Q72" t="str">
        <f t="shared" si="5"/>
        <v>October</v>
      </c>
    </row>
    <row r="73" spans="1:17" x14ac:dyDescent="0.3">
      <c r="A73" s="1" t="s">
        <v>151</v>
      </c>
      <c r="B73" s="2">
        <v>45815</v>
      </c>
      <c r="C73" s="1" t="s">
        <v>92</v>
      </c>
      <c r="D73" s="1" t="s">
        <v>21</v>
      </c>
      <c r="E73" s="1" t="s">
        <v>53</v>
      </c>
      <c r="F73" s="1">
        <v>2</v>
      </c>
      <c r="G73" s="1">
        <v>0</v>
      </c>
      <c r="H73" s="1" t="s">
        <v>13</v>
      </c>
      <c r="I73" s="1">
        <v>20</v>
      </c>
      <c r="J73">
        <f>_xlfn.XLOOKUP(D73,[1]products!$A$2:$A$11,[1]products!$D$2:$D$11,"Not Found")</f>
        <v>320</v>
      </c>
      <c r="K73">
        <f t="shared" si="3"/>
        <v>640</v>
      </c>
      <c r="L73">
        <f>_xlfn.XLOOKUP(D73,[1]products!$A$2:$A$11,[1]products!$E$2:$E$11,"Not Found")</f>
        <v>86.4</v>
      </c>
      <c r="M73">
        <f t="shared" si="4"/>
        <v>447.2</v>
      </c>
      <c r="N73" t="str">
        <f>_xlfn.XLOOKUP(C73,[2]customers!$A$2:$A$81,[2]customers!$C$2:$C$81,"Not Found")</f>
        <v>South</v>
      </c>
      <c r="O73" t="str">
        <f>_xlfn.XLOOKUP(D73,[1]products!$A$2:$A$11,[1]products!$C$2:$C$11,"Not Found")</f>
        <v>Desk</v>
      </c>
      <c r="P73" t="str">
        <f>_xlfn.XLOOKUP(C73,[2]customers!$A$2:$A$81,[2]customers!$E$2:$E$81,"Not Found")</f>
        <v>Corporate</v>
      </c>
      <c r="Q73" t="str">
        <f t="shared" si="5"/>
        <v>June</v>
      </c>
    </row>
    <row r="74" spans="1:17" x14ac:dyDescent="0.3">
      <c r="A74" s="1" t="s">
        <v>152</v>
      </c>
      <c r="B74" s="2">
        <v>45813</v>
      </c>
      <c r="C74" s="1" t="s">
        <v>68</v>
      </c>
      <c r="D74" s="1" t="s">
        <v>21</v>
      </c>
      <c r="E74" s="1" t="s">
        <v>50</v>
      </c>
      <c r="F74" s="1">
        <v>4</v>
      </c>
      <c r="G74" s="1">
        <v>0</v>
      </c>
      <c r="H74" s="1" t="s">
        <v>13</v>
      </c>
      <c r="I74" s="1">
        <v>12</v>
      </c>
      <c r="J74">
        <f>_xlfn.XLOOKUP(D74,[1]products!$A$2:$A$11,[1]products!$D$2:$D$11,"Not Found")</f>
        <v>320</v>
      </c>
      <c r="K74">
        <f t="shared" si="3"/>
        <v>1280</v>
      </c>
      <c r="L74">
        <f>_xlfn.XLOOKUP(D74,[1]products!$A$2:$A$11,[1]products!$E$2:$E$11,"Not Found")</f>
        <v>86.4</v>
      </c>
      <c r="M74">
        <f t="shared" si="4"/>
        <v>922.4</v>
      </c>
      <c r="N74" t="str">
        <f>_xlfn.XLOOKUP(C74,[2]customers!$A$2:$A$81,[2]customers!$C$2:$C$81,"Not Found")</f>
        <v>West</v>
      </c>
      <c r="O74" t="str">
        <f>_xlfn.XLOOKUP(D74,[1]products!$A$2:$A$11,[1]products!$C$2:$C$11,"Not Found")</f>
        <v>Desk</v>
      </c>
      <c r="P74" t="str">
        <f>_xlfn.XLOOKUP(C74,[2]customers!$A$2:$A$81,[2]customers!$E$2:$E$81,"Not Found")</f>
        <v>Corporate</v>
      </c>
      <c r="Q74" t="str">
        <f t="shared" si="5"/>
        <v>June</v>
      </c>
    </row>
    <row r="75" spans="1:17" x14ac:dyDescent="0.3">
      <c r="A75" s="1" t="s">
        <v>153</v>
      </c>
      <c r="B75" s="2">
        <v>45678</v>
      </c>
      <c r="C75" s="1" t="s">
        <v>154</v>
      </c>
      <c r="D75" s="1" t="s">
        <v>35</v>
      </c>
      <c r="E75" s="1" t="s">
        <v>50</v>
      </c>
      <c r="F75" s="1">
        <v>4</v>
      </c>
      <c r="G75" s="1">
        <v>0.1</v>
      </c>
      <c r="H75" s="1" t="s">
        <v>13</v>
      </c>
      <c r="I75" s="1">
        <v>20</v>
      </c>
      <c r="J75">
        <f>_xlfn.XLOOKUP(D75,[1]products!$A$2:$A$11,[1]products!$D$2:$D$11,"Not Found")</f>
        <v>130</v>
      </c>
      <c r="K75">
        <f t="shared" si="3"/>
        <v>468</v>
      </c>
      <c r="L75">
        <f>_xlfn.XLOOKUP(D75,[1]products!$A$2:$A$11,[1]products!$E$2:$E$11,"Not Found")</f>
        <v>33.799999999999997</v>
      </c>
      <c r="M75">
        <f t="shared" si="4"/>
        <v>312.8</v>
      </c>
      <c r="N75" t="str">
        <f>_xlfn.XLOOKUP(C75,[2]customers!$A$2:$A$81,[2]customers!$C$2:$C$81,"Not Found")</f>
        <v>North</v>
      </c>
      <c r="O75" t="str">
        <f>_xlfn.XLOOKUP(D75,[1]products!$A$2:$A$11,[1]products!$C$2:$C$11,"Not Found")</f>
        <v>Air Fryer</v>
      </c>
      <c r="P75" t="str">
        <f>_xlfn.XLOOKUP(C75,[2]customers!$A$2:$A$81,[2]customers!$E$2:$E$81,"Not Found")</f>
        <v>Consumer</v>
      </c>
      <c r="Q75" t="str">
        <f t="shared" si="5"/>
        <v>January</v>
      </c>
    </row>
    <row r="76" spans="1:17" x14ac:dyDescent="0.3">
      <c r="A76" s="1" t="s">
        <v>155</v>
      </c>
      <c r="B76" s="2">
        <v>46003</v>
      </c>
      <c r="C76" s="1" t="s">
        <v>156</v>
      </c>
      <c r="D76" s="1" t="s">
        <v>71</v>
      </c>
      <c r="E76" s="1" t="s">
        <v>53</v>
      </c>
      <c r="F76" s="1">
        <v>3</v>
      </c>
      <c r="G76" s="1">
        <v>0</v>
      </c>
      <c r="H76" s="1" t="s">
        <v>13</v>
      </c>
      <c r="I76" s="1">
        <v>18</v>
      </c>
      <c r="J76">
        <f>_xlfn.XLOOKUP(D76,[1]products!$A$2:$A$11,[1]products!$D$2:$D$11,"Not Found")</f>
        <v>240</v>
      </c>
      <c r="K76">
        <f t="shared" si="3"/>
        <v>720</v>
      </c>
      <c r="L76">
        <f>_xlfn.XLOOKUP(D76,[1]products!$A$2:$A$11,[1]products!$E$2:$E$11,"Not Found")</f>
        <v>55.2</v>
      </c>
      <c r="M76">
        <f t="shared" si="4"/>
        <v>536.4</v>
      </c>
      <c r="N76" t="str">
        <f>_xlfn.XLOOKUP(C76,[2]customers!$A$2:$A$81,[2]customers!$C$2:$C$81,"Not Found")</f>
        <v>West</v>
      </c>
      <c r="O76" t="str">
        <f>_xlfn.XLOOKUP(D76,[1]products!$A$2:$A$11,[1]products!$C$2:$C$11,"Not Found")</f>
        <v>Vacuum Cleaner</v>
      </c>
      <c r="P76" t="str">
        <f>_xlfn.XLOOKUP(C76,[2]customers!$A$2:$A$81,[2]customers!$E$2:$E$81,"Not Found")</f>
        <v>Corporate</v>
      </c>
      <c r="Q76" t="str">
        <f t="shared" si="5"/>
        <v>December</v>
      </c>
    </row>
    <row r="77" spans="1:17" x14ac:dyDescent="0.3">
      <c r="A77" s="1" t="s">
        <v>157</v>
      </c>
      <c r="B77" s="2">
        <v>45747</v>
      </c>
      <c r="C77" s="1" t="s">
        <v>96</v>
      </c>
      <c r="D77" s="1" t="s">
        <v>21</v>
      </c>
      <c r="E77" s="1" t="s">
        <v>50</v>
      </c>
      <c r="F77" s="1">
        <v>5</v>
      </c>
      <c r="G77" s="1">
        <v>0</v>
      </c>
      <c r="H77" s="1" t="s">
        <v>13</v>
      </c>
      <c r="I77" s="1">
        <v>18</v>
      </c>
      <c r="J77">
        <f>_xlfn.XLOOKUP(D77,[1]products!$A$2:$A$11,[1]products!$D$2:$D$11,"Not Found")</f>
        <v>320</v>
      </c>
      <c r="K77">
        <f t="shared" si="3"/>
        <v>1600</v>
      </c>
      <c r="L77">
        <f>_xlfn.XLOOKUP(D77,[1]products!$A$2:$A$11,[1]products!$E$2:$E$11,"Not Found")</f>
        <v>86.4</v>
      </c>
      <c r="M77">
        <f t="shared" si="4"/>
        <v>1150</v>
      </c>
      <c r="N77" t="str">
        <f>_xlfn.XLOOKUP(C77,[2]customers!$A$2:$A$81,[2]customers!$C$2:$C$81,"Not Found")</f>
        <v>West</v>
      </c>
      <c r="O77" t="str">
        <f>_xlfn.XLOOKUP(D77,[1]products!$A$2:$A$11,[1]products!$C$2:$C$11,"Not Found")</f>
        <v>Desk</v>
      </c>
      <c r="P77" t="str">
        <f>_xlfn.XLOOKUP(C77,[2]customers!$A$2:$A$81,[2]customers!$E$2:$E$81,"Not Found")</f>
        <v>Corporate</v>
      </c>
      <c r="Q77" t="str">
        <f t="shared" si="5"/>
        <v>March</v>
      </c>
    </row>
    <row r="78" spans="1:17" x14ac:dyDescent="0.3">
      <c r="A78" s="1" t="s">
        <v>158</v>
      </c>
      <c r="B78" s="2">
        <v>45909</v>
      </c>
      <c r="C78" s="1" t="s">
        <v>34</v>
      </c>
      <c r="D78" s="1" t="s">
        <v>21</v>
      </c>
      <c r="E78" s="1" t="s">
        <v>16</v>
      </c>
      <c r="F78" s="1">
        <v>2</v>
      </c>
      <c r="G78" s="1">
        <v>0.15</v>
      </c>
      <c r="H78" s="1" t="s">
        <v>13</v>
      </c>
      <c r="I78" s="1">
        <v>15</v>
      </c>
      <c r="J78">
        <f>_xlfn.XLOOKUP(D78,[1]products!$A$2:$A$11,[1]products!$D$2:$D$11,"Not Found")</f>
        <v>320</v>
      </c>
      <c r="K78">
        <f t="shared" si="3"/>
        <v>544</v>
      </c>
      <c r="L78">
        <f>_xlfn.XLOOKUP(D78,[1]products!$A$2:$A$11,[1]products!$E$2:$E$11,"Not Found")</f>
        <v>86.4</v>
      </c>
      <c r="M78">
        <f t="shared" si="4"/>
        <v>356.2</v>
      </c>
      <c r="N78" t="str">
        <f>_xlfn.XLOOKUP(C78,[2]customers!$A$2:$A$81,[2]customers!$C$2:$C$81,"Not Found")</f>
        <v>North</v>
      </c>
      <c r="O78" t="str">
        <f>_xlfn.XLOOKUP(D78,[1]products!$A$2:$A$11,[1]products!$C$2:$C$11,"Not Found")</f>
        <v>Desk</v>
      </c>
      <c r="P78" t="str">
        <f>_xlfn.XLOOKUP(C78,[2]customers!$A$2:$A$81,[2]customers!$E$2:$E$81,"Not Found")</f>
        <v>Corporate</v>
      </c>
      <c r="Q78" t="str">
        <f t="shared" si="5"/>
        <v>September</v>
      </c>
    </row>
    <row r="79" spans="1:17" x14ac:dyDescent="0.3">
      <c r="A79" s="1" t="s">
        <v>159</v>
      </c>
      <c r="B79" s="2">
        <v>45740</v>
      </c>
      <c r="C79" s="1" t="s">
        <v>49</v>
      </c>
      <c r="D79" s="1" t="s">
        <v>43</v>
      </c>
      <c r="E79" s="1" t="s">
        <v>12</v>
      </c>
      <c r="F79" s="1">
        <v>3</v>
      </c>
      <c r="G79" s="1">
        <v>0.05</v>
      </c>
      <c r="H79" s="1" t="s">
        <v>13</v>
      </c>
      <c r="I79" s="1">
        <v>15</v>
      </c>
      <c r="J79">
        <f>_xlfn.XLOOKUP(D79,[1]products!$A$2:$A$11,[1]products!$D$2:$D$11,"Not Found")</f>
        <v>160</v>
      </c>
      <c r="K79">
        <f t="shared" si="3"/>
        <v>456</v>
      </c>
      <c r="L79">
        <f>_xlfn.XLOOKUP(D79,[1]products!$A$2:$A$11,[1]products!$E$2:$E$11,"Not Found")</f>
        <v>38.4</v>
      </c>
      <c r="M79">
        <f t="shared" si="4"/>
        <v>325.8</v>
      </c>
      <c r="N79" t="str">
        <f>_xlfn.XLOOKUP(C79,[2]customers!$A$2:$A$81,[2]customers!$C$2:$C$81,"Not Found")</f>
        <v>West</v>
      </c>
      <c r="O79" t="str">
        <f>_xlfn.XLOOKUP(D79,[1]products!$A$2:$A$11,[1]products!$C$2:$C$11,"Not Found")</f>
        <v>Microwave</v>
      </c>
      <c r="P79" t="str">
        <f>_xlfn.XLOOKUP(C79,[2]customers!$A$2:$A$81,[2]customers!$E$2:$E$81,"Not Found")</f>
        <v>Consumer</v>
      </c>
      <c r="Q79" t="str">
        <f t="shared" si="5"/>
        <v>March</v>
      </c>
    </row>
    <row r="80" spans="1:17" x14ac:dyDescent="0.3">
      <c r="A80" s="1" t="s">
        <v>160</v>
      </c>
      <c r="B80" s="2">
        <v>45703</v>
      </c>
      <c r="C80" s="1" t="s">
        <v>123</v>
      </c>
      <c r="D80" s="1" t="s">
        <v>21</v>
      </c>
      <c r="E80" s="1" t="s">
        <v>12</v>
      </c>
      <c r="F80" s="1">
        <v>4</v>
      </c>
      <c r="G80" s="1">
        <v>0.15</v>
      </c>
      <c r="H80" s="1" t="s">
        <v>13</v>
      </c>
      <c r="I80" s="1">
        <v>12</v>
      </c>
      <c r="J80">
        <f>_xlfn.XLOOKUP(D80,[1]products!$A$2:$A$11,[1]products!$D$2:$D$11,"Not Found")</f>
        <v>320</v>
      </c>
      <c r="K80">
        <f t="shared" si="3"/>
        <v>1088</v>
      </c>
      <c r="L80">
        <f>_xlfn.XLOOKUP(D80,[1]products!$A$2:$A$11,[1]products!$E$2:$E$11,"Not Found")</f>
        <v>86.4</v>
      </c>
      <c r="M80">
        <f t="shared" si="4"/>
        <v>730.4</v>
      </c>
      <c r="N80" t="str">
        <f>_xlfn.XLOOKUP(C80,[2]customers!$A$2:$A$81,[2]customers!$C$2:$C$81,"Not Found")</f>
        <v>East</v>
      </c>
      <c r="O80" t="str">
        <f>_xlfn.XLOOKUP(D80,[1]products!$A$2:$A$11,[1]products!$C$2:$C$11,"Not Found")</f>
        <v>Desk</v>
      </c>
      <c r="P80" t="str">
        <f>_xlfn.XLOOKUP(C80,[2]customers!$A$2:$A$81,[2]customers!$E$2:$E$81,"Not Found")</f>
        <v>Consumer</v>
      </c>
      <c r="Q80" t="str">
        <f t="shared" si="5"/>
        <v>February</v>
      </c>
    </row>
    <row r="81" spans="1:17" x14ac:dyDescent="0.3">
      <c r="A81" s="1" t="s">
        <v>161</v>
      </c>
      <c r="B81" s="2">
        <v>45658</v>
      </c>
      <c r="C81" s="1" t="s">
        <v>156</v>
      </c>
      <c r="D81" s="1" t="s">
        <v>15</v>
      </c>
      <c r="E81" s="1" t="s">
        <v>53</v>
      </c>
      <c r="F81" s="1">
        <v>4</v>
      </c>
      <c r="G81" s="1">
        <v>0.15</v>
      </c>
      <c r="H81" s="1" t="s">
        <v>22</v>
      </c>
      <c r="I81" s="1">
        <v>15</v>
      </c>
      <c r="J81">
        <f>_xlfn.XLOOKUP(D81,[1]products!$A$2:$A$11,[1]products!$D$2:$D$11,"Not Found")</f>
        <v>600</v>
      </c>
      <c r="K81">
        <f t="shared" si="3"/>
        <v>2040</v>
      </c>
      <c r="L81">
        <f>_xlfn.XLOOKUP(D81,[1]products!$A$2:$A$11,[1]products!$E$2:$E$11,"Not Found")</f>
        <v>120</v>
      </c>
      <c r="M81">
        <f t="shared" si="4"/>
        <v>1545</v>
      </c>
      <c r="N81" t="str">
        <f>_xlfn.XLOOKUP(C81,[2]customers!$A$2:$A$81,[2]customers!$C$2:$C$81,"Not Found")</f>
        <v>West</v>
      </c>
      <c r="O81" t="str">
        <f>_xlfn.XLOOKUP(D81,[1]products!$A$2:$A$11,[1]products!$C$2:$C$11,"Not Found")</f>
        <v>Smartphone</v>
      </c>
      <c r="P81" t="str">
        <f>_xlfn.XLOOKUP(C81,[2]customers!$A$2:$A$81,[2]customers!$E$2:$E$81,"Not Found")</f>
        <v>Corporate</v>
      </c>
      <c r="Q81" t="str">
        <f t="shared" si="5"/>
        <v>January</v>
      </c>
    </row>
    <row r="82" spans="1:17" x14ac:dyDescent="0.3">
      <c r="A82" s="1" t="s">
        <v>162</v>
      </c>
      <c r="B82" s="2">
        <v>45913</v>
      </c>
      <c r="C82" s="1" t="s">
        <v>45</v>
      </c>
      <c r="D82" s="1" t="s">
        <v>25</v>
      </c>
      <c r="E82" s="1" t="s">
        <v>50</v>
      </c>
      <c r="F82" s="1">
        <v>2</v>
      </c>
      <c r="G82" s="1">
        <v>0.15</v>
      </c>
      <c r="H82" s="1" t="s">
        <v>13</v>
      </c>
      <c r="I82" s="1">
        <v>8</v>
      </c>
      <c r="J82">
        <f>_xlfn.XLOOKUP(D82,[1]products!$A$2:$A$11,[1]products!$D$2:$D$11,"Not Found")</f>
        <v>850</v>
      </c>
      <c r="K82">
        <f t="shared" si="3"/>
        <v>1445</v>
      </c>
      <c r="L82">
        <f>_xlfn.XLOOKUP(D82,[1]products!$A$2:$A$11,[1]products!$E$2:$E$11,"Not Found")</f>
        <v>187</v>
      </c>
      <c r="M82">
        <f t="shared" si="4"/>
        <v>1063</v>
      </c>
      <c r="N82" t="str">
        <f>_xlfn.XLOOKUP(C82,[2]customers!$A$2:$A$81,[2]customers!$C$2:$C$81,"Not Found")</f>
        <v>West</v>
      </c>
      <c r="O82" t="str">
        <f>_xlfn.XLOOKUP(D82,[1]products!$A$2:$A$11,[1]products!$C$2:$C$11,"Not Found")</f>
        <v>Laptop</v>
      </c>
      <c r="P82" t="str">
        <f>_xlfn.XLOOKUP(C82,[2]customers!$A$2:$A$81,[2]customers!$E$2:$E$81,"Not Found")</f>
        <v>Home Office</v>
      </c>
      <c r="Q82" t="str">
        <f t="shared" si="5"/>
        <v>September</v>
      </c>
    </row>
    <row r="83" spans="1:17" x14ac:dyDescent="0.3">
      <c r="A83" s="1" t="s">
        <v>163</v>
      </c>
      <c r="B83" s="2">
        <v>45882</v>
      </c>
      <c r="C83" s="1" t="s">
        <v>164</v>
      </c>
      <c r="D83" s="1" t="s">
        <v>21</v>
      </c>
      <c r="E83" s="1" t="s">
        <v>50</v>
      </c>
      <c r="F83" s="1">
        <v>5</v>
      </c>
      <c r="G83" s="1">
        <v>0</v>
      </c>
      <c r="H83" s="1" t="s">
        <v>22</v>
      </c>
      <c r="I83" s="1">
        <v>8</v>
      </c>
      <c r="J83">
        <f>_xlfn.XLOOKUP(D83,[1]products!$A$2:$A$11,[1]products!$D$2:$D$11,"Not Found")</f>
        <v>320</v>
      </c>
      <c r="K83">
        <f t="shared" si="3"/>
        <v>1600</v>
      </c>
      <c r="L83">
        <f>_xlfn.XLOOKUP(D83,[1]products!$A$2:$A$11,[1]products!$E$2:$E$11,"Not Found")</f>
        <v>86.4</v>
      </c>
      <c r="M83">
        <f t="shared" si="4"/>
        <v>1160</v>
      </c>
      <c r="N83" t="str">
        <f>_xlfn.XLOOKUP(C83,[2]customers!$A$2:$A$81,[2]customers!$C$2:$C$81,"Not Found")</f>
        <v>East</v>
      </c>
      <c r="O83" t="str">
        <f>_xlfn.XLOOKUP(D83,[1]products!$A$2:$A$11,[1]products!$C$2:$C$11,"Not Found")</f>
        <v>Desk</v>
      </c>
      <c r="P83" t="str">
        <f>_xlfn.XLOOKUP(C83,[2]customers!$A$2:$A$81,[2]customers!$E$2:$E$81,"Not Found")</f>
        <v>Consumer</v>
      </c>
      <c r="Q83" t="str">
        <f t="shared" si="5"/>
        <v>August</v>
      </c>
    </row>
    <row r="84" spans="1:17" x14ac:dyDescent="0.3">
      <c r="A84" s="1" t="s">
        <v>165</v>
      </c>
      <c r="B84" s="2">
        <v>45665</v>
      </c>
      <c r="C84" s="1" t="s">
        <v>55</v>
      </c>
      <c r="D84" s="1" t="s">
        <v>71</v>
      </c>
      <c r="E84" s="1" t="s">
        <v>53</v>
      </c>
      <c r="F84" s="1">
        <v>2</v>
      </c>
      <c r="G84" s="1">
        <v>0</v>
      </c>
      <c r="H84" s="1" t="s">
        <v>13</v>
      </c>
      <c r="I84" s="1">
        <v>15</v>
      </c>
      <c r="J84">
        <f>_xlfn.XLOOKUP(D84,[1]products!$A$2:$A$11,[1]products!$D$2:$D$11,"Not Found")</f>
        <v>240</v>
      </c>
      <c r="K84">
        <f t="shared" si="3"/>
        <v>480</v>
      </c>
      <c r="L84">
        <f>_xlfn.XLOOKUP(D84,[1]products!$A$2:$A$11,[1]products!$E$2:$E$11,"Not Found")</f>
        <v>55.2</v>
      </c>
      <c r="M84">
        <f t="shared" si="4"/>
        <v>354.6</v>
      </c>
      <c r="N84" t="str">
        <f>_xlfn.XLOOKUP(C84,[2]customers!$A$2:$A$81,[2]customers!$C$2:$C$81,"Not Found")</f>
        <v>West</v>
      </c>
      <c r="O84" t="str">
        <f>_xlfn.XLOOKUP(D84,[1]products!$A$2:$A$11,[1]products!$C$2:$C$11,"Not Found")</f>
        <v>Vacuum Cleaner</v>
      </c>
      <c r="P84" t="str">
        <f>_xlfn.XLOOKUP(C84,[2]customers!$A$2:$A$81,[2]customers!$E$2:$E$81,"Not Found")</f>
        <v>Consumer</v>
      </c>
      <c r="Q84" t="str">
        <f t="shared" si="5"/>
        <v>January</v>
      </c>
    </row>
    <row r="85" spans="1:17" x14ac:dyDescent="0.3">
      <c r="A85" s="1" t="s">
        <v>166</v>
      </c>
      <c r="B85" s="2">
        <v>45989</v>
      </c>
      <c r="C85" s="1" t="s">
        <v>76</v>
      </c>
      <c r="D85" s="1" t="s">
        <v>11</v>
      </c>
      <c r="E85" s="1" t="s">
        <v>26</v>
      </c>
      <c r="F85" s="1">
        <v>1</v>
      </c>
      <c r="G85" s="1">
        <v>0.1</v>
      </c>
      <c r="H85" s="1" t="s">
        <v>62</v>
      </c>
      <c r="I85" s="1">
        <v>15</v>
      </c>
      <c r="J85">
        <f>_xlfn.XLOOKUP(D85,[1]products!$A$2:$A$11,[1]products!$D$2:$D$11,"Not Found")</f>
        <v>180</v>
      </c>
      <c r="K85">
        <f t="shared" si="3"/>
        <v>162</v>
      </c>
      <c r="L85">
        <f>_xlfn.XLOOKUP(D85,[1]products!$A$2:$A$11,[1]products!$E$2:$E$11,"Not Found")</f>
        <v>54</v>
      </c>
      <c r="M85">
        <f t="shared" si="4"/>
        <v>93</v>
      </c>
      <c r="N85" t="str">
        <f>_xlfn.XLOOKUP(C85,[2]customers!$A$2:$A$81,[2]customers!$C$2:$C$81,"Not Found")</f>
        <v>West</v>
      </c>
      <c r="O85" t="str">
        <f>_xlfn.XLOOKUP(D85,[1]products!$A$2:$A$11,[1]products!$C$2:$C$11,"Not Found")</f>
        <v>Office Chair</v>
      </c>
      <c r="P85" t="str">
        <f>_xlfn.XLOOKUP(C85,[2]customers!$A$2:$A$81,[2]customers!$E$2:$E$81,"Not Found")</f>
        <v>Consumer</v>
      </c>
      <c r="Q85" t="str">
        <f t="shared" si="5"/>
        <v>November</v>
      </c>
    </row>
    <row r="86" spans="1:17" x14ac:dyDescent="0.3">
      <c r="A86" s="1" t="s">
        <v>167</v>
      </c>
      <c r="B86" s="2">
        <v>45899</v>
      </c>
      <c r="C86" s="1" t="s">
        <v>66</v>
      </c>
      <c r="D86" s="1" t="s">
        <v>35</v>
      </c>
      <c r="E86" s="1" t="s">
        <v>26</v>
      </c>
      <c r="F86" s="1">
        <v>3</v>
      </c>
      <c r="G86" s="1">
        <v>0.1</v>
      </c>
      <c r="H86" s="1" t="s">
        <v>22</v>
      </c>
      <c r="I86" s="1">
        <v>15</v>
      </c>
      <c r="J86">
        <f>_xlfn.XLOOKUP(D86,[1]products!$A$2:$A$11,[1]products!$D$2:$D$11,"Not Found")</f>
        <v>130</v>
      </c>
      <c r="K86">
        <f t="shared" si="3"/>
        <v>351</v>
      </c>
      <c r="L86">
        <f>_xlfn.XLOOKUP(D86,[1]products!$A$2:$A$11,[1]products!$E$2:$E$11,"Not Found")</f>
        <v>33.799999999999997</v>
      </c>
      <c r="M86">
        <f t="shared" si="4"/>
        <v>234.60000000000002</v>
      </c>
      <c r="N86" t="str">
        <f>_xlfn.XLOOKUP(C86,[2]customers!$A$2:$A$81,[2]customers!$C$2:$C$81,"Not Found")</f>
        <v>South</v>
      </c>
      <c r="O86" t="str">
        <f>_xlfn.XLOOKUP(D86,[1]products!$A$2:$A$11,[1]products!$C$2:$C$11,"Not Found")</f>
        <v>Air Fryer</v>
      </c>
      <c r="P86" t="str">
        <f>_xlfn.XLOOKUP(C86,[2]customers!$A$2:$A$81,[2]customers!$E$2:$E$81,"Not Found")</f>
        <v>Consumer</v>
      </c>
      <c r="Q86" t="str">
        <f t="shared" si="5"/>
        <v>August</v>
      </c>
    </row>
    <row r="87" spans="1:17" x14ac:dyDescent="0.3">
      <c r="A87" s="1" t="s">
        <v>168</v>
      </c>
      <c r="B87" s="2">
        <v>45918</v>
      </c>
      <c r="C87" s="1" t="s">
        <v>147</v>
      </c>
      <c r="D87" s="1" t="s">
        <v>74</v>
      </c>
      <c r="E87" s="1" t="s">
        <v>26</v>
      </c>
      <c r="F87" s="1">
        <v>4</v>
      </c>
      <c r="G87" s="1">
        <v>0</v>
      </c>
      <c r="H87" s="1" t="s">
        <v>22</v>
      </c>
      <c r="I87" s="1">
        <v>8</v>
      </c>
      <c r="J87">
        <f>_xlfn.XLOOKUP(D87,[1]products!$A$2:$A$11,[1]products!$D$2:$D$11,"Not Found")</f>
        <v>90</v>
      </c>
      <c r="K87">
        <f t="shared" si="3"/>
        <v>360</v>
      </c>
      <c r="L87">
        <f>_xlfn.XLOOKUP(D87,[1]products!$A$2:$A$11,[1]products!$E$2:$E$11,"Not Found")</f>
        <v>25.2</v>
      </c>
      <c r="M87">
        <f t="shared" si="4"/>
        <v>251.2</v>
      </c>
      <c r="N87" t="str">
        <f>_xlfn.XLOOKUP(C87,[2]customers!$A$2:$A$81,[2]customers!$C$2:$C$81,"Not Found")</f>
        <v>North</v>
      </c>
      <c r="O87" t="str">
        <f>_xlfn.XLOOKUP(D87,[1]products!$A$2:$A$11,[1]products!$C$2:$C$11,"Not Found")</f>
        <v>Headphones</v>
      </c>
      <c r="P87" t="str">
        <f>_xlfn.XLOOKUP(C87,[2]customers!$A$2:$A$81,[2]customers!$E$2:$E$81,"Not Found")</f>
        <v>Consumer</v>
      </c>
      <c r="Q87" t="str">
        <f t="shared" si="5"/>
        <v>September</v>
      </c>
    </row>
    <row r="88" spans="1:17" x14ac:dyDescent="0.3">
      <c r="A88" s="1" t="s">
        <v>169</v>
      </c>
      <c r="B88" s="2">
        <v>45659</v>
      </c>
      <c r="C88" s="1" t="s">
        <v>52</v>
      </c>
      <c r="D88" s="1" t="s">
        <v>43</v>
      </c>
      <c r="E88" s="1" t="s">
        <v>12</v>
      </c>
      <c r="F88" s="1">
        <v>3</v>
      </c>
      <c r="G88" s="1">
        <v>0.15</v>
      </c>
      <c r="H88" s="1" t="s">
        <v>13</v>
      </c>
      <c r="I88" s="1">
        <v>20</v>
      </c>
      <c r="J88">
        <f>_xlfn.XLOOKUP(D88,[1]products!$A$2:$A$11,[1]products!$D$2:$D$11,"Not Found")</f>
        <v>160</v>
      </c>
      <c r="K88">
        <f t="shared" si="3"/>
        <v>408</v>
      </c>
      <c r="L88">
        <f>_xlfn.XLOOKUP(D88,[1]products!$A$2:$A$11,[1]products!$E$2:$E$11,"Not Found")</f>
        <v>38.4</v>
      </c>
      <c r="M88">
        <f t="shared" si="4"/>
        <v>272.8</v>
      </c>
      <c r="N88" t="str">
        <f>_xlfn.XLOOKUP(C88,[2]customers!$A$2:$A$81,[2]customers!$C$2:$C$81,"Not Found")</f>
        <v>East</v>
      </c>
      <c r="O88" t="str">
        <f>_xlfn.XLOOKUP(D88,[1]products!$A$2:$A$11,[1]products!$C$2:$C$11,"Not Found")</f>
        <v>Microwave</v>
      </c>
      <c r="P88" t="str">
        <f>_xlfn.XLOOKUP(C88,[2]customers!$A$2:$A$81,[2]customers!$E$2:$E$81,"Not Found")</f>
        <v>Corporate</v>
      </c>
      <c r="Q88" t="str">
        <f t="shared" si="5"/>
        <v>January</v>
      </c>
    </row>
    <row r="89" spans="1:17" x14ac:dyDescent="0.3">
      <c r="A89" s="1" t="s">
        <v>170</v>
      </c>
      <c r="B89" s="2">
        <v>45886</v>
      </c>
      <c r="C89" s="1" t="s">
        <v>143</v>
      </c>
      <c r="D89" s="1" t="s">
        <v>71</v>
      </c>
      <c r="E89" s="1" t="s">
        <v>53</v>
      </c>
      <c r="F89" s="1">
        <v>5</v>
      </c>
      <c r="G89" s="1">
        <v>0.1</v>
      </c>
      <c r="H89" s="1" t="s">
        <v>22</v>
      </c>
      <c r="I89" s="1">
        <v>15</v>
      </c>
      <c r="J89">
        <f>_xlfn.XLOOKUP(D89,[1]products!$A$2:$A$11,[1]products!$D$2:$D$11,"Not Found")</f>
        <v>240</v>
      </c>
      <c r="K89">
        <f t="shared" si="3"/>
        <v>1080</v>
      </c>
      <c r="L89">
        <f>_xlfn.XLOOKUP(D89,[1]products!$A$2:$A$11,[1]products!$E$2:$E$11,"Not Found")</f>
        <v>55.2</v>
      </c>
      <c r="M89">
        <f t="shared" si="4"/>
        <v>789</v>
      </c>
      <c r="N89" t="str">
        <f>_xlfn.XLOOKUP(C89,[2]customers!$A$2:$A$81,[2]customers!$C$2:$C$81,"Not Found")</f>
        <v>East</v>
      </c>
      <c r="O89" t="str">
        <f>_xlfn.XLOOKUP(D89,[1]products!$A$2:$A$11,[1]products!$C$2:$C$11,"Not Found")</f>
        <v>Vacuum Cleaner</v>
      </c>
      <c r="P89" t="str">
        <f>_xlfn.XLOOKUP(C89,[2]customers!$A$2:$A$81,[2]customers!$E$2:$E$81,"Not Found")</f>
        <v>Home Office</v>
      </c>
      <c r="Q89" t="str">
        <f t="shared" si="5"/>
        <v>August</v>
      </c>
    </row>
    <row r="90" spans="1:17" x14ac:dyDescent="0.3">
      <c r="A90" s="1" t="s">
        <v>171</v>
      </c>
      <c r="B90" s="2">
        <v>45822</v>
      </c>
      <c r="C90" s="1" t="s">
        <v>49</v>
      </c>
      <c r="D90" s="1" t="s">
        <v>38</v>
      </c>
      <c r="E90" s="1" t="s">
        <v>26</v>
      </c>
      <c r="F90" s="1">
        <v>5</v>
      </c>
      <c r="G90" s="1">
        <v>0.15</v>
      </c>
      <c r="H90" s="1" t="s">
        <v>13</v>
      </c>
      <c r="I90" s="1">
        <v>20</v>
      </c>
      <c r="J90">
        <f>_xlfn.XLOOKUP(D90,[1]products!$A$2:$A$11,[1]products!$D$2:$D$11,"Not Found")</f>
        <v>210</v>
      </c>
      <c r="K90">
        <f t="shared" si="3"/>
        <v>892.5</v>
      </c>
      <c r="L90">
        <f>_xlfn.XLOOKUP(D90,[1]products!$A$2:$A$11,[1]products!$E$2:$E$11,"Not Found")</f>
        <v>52.5</v>
      </c>
      <c r="M90">
        <f t="shared" si="4"/>
        <v>610</v>
      </c>
      <c r="N90" t="str">
        <f>_xlfn.XLOOKUP(C90,[2]customers!$A$2:$A$81,[2]customers!$C$2:$C$81,"Not Found")</f>
        <v>West</v>
      </c>
      <c r="O90" t="str">
        <f>_xlfn.XLOOKUP(D90,[1]products!$A$2:$A$11,[1]products!$C$2:$C$11,"Not Found")</f>
        <v>Bookshelf</v>
      </c>
      <c r="P90" t="str">
        <f>_xlfn.XLOOKUP(C90,[2]customers!$A$2:$A$81,[2]customers!$E$2:$E$81,"Not Found")</f>
        <v>Consumer</v>
      </c>
      <c r="Q90" t="str">
        <f t="shared" si="5"/>
        <v>June</v>
      </c>
    </row>
    <row r="91" spans="1:17" x14ac:dyDescent="0.3">
      <c r="A91" s="1" t="s">
        <v>172</v>
      </c>
      <c r="B91" s="2">
        <v>45868</v>
      </c>
      <c r="C91" s="1" t="s">
        <v>110</v>
      </c>
      <c r="D91" s="1" t="s">
        <v>71</v>
      </c>
      <c r="E91" s="1" t="s">
        <v>16</v>
      </c>
      <c r="F91" s="1">
        <v>4</v>
      </c>
      <c r="G91" s="1">
        <v>0</v>
      </c>
      <c r="H91" s="1" t="s">
        <v>22</v>
      </c>
      <c r="I91" s="1">
        <v>12</v>
      </c>
      <c r="J91">
        <f>_xlfn.XLOOKUP(D91,[1]products!$A$2:$A$11,[1]products!$D$2:$D$11,"Not Found")</f>
        <v>240</v>
      </c>
      <c r="K91">
        <f t="shared" si="3"/>
        <v>960</v>
      </c>
      <c r="L91">
        <f>_xlfn.XLOOKUP(D91,[1]products!$A$2:$A$11,[1]products!$E$2:$E$11,"Not Found")</f>
        <v>55.2</v>
      </c>
      <c r="M91">
        <f t="shared" si="4"/>
        <v>727.2</v>
      </c>
      <c r="N91" t="str">
        <f>_xlfn.XLOOKUP(C91,[2]customers!$A$2:$A$81,[2]customers!$C$2:$C$81,"Not Found")</f>
        <v>South</v>
      </c>
      <c r="O91" t="str">
        <f>_xlfn.XLOOKUP(D91,[1]products!$A$2:$A$11,[1]products!$C$2:$C$11,"Not Found")</f>
        <v>Vacuum Cleaner</v>
      </c>
      <c r="P91" t="str">
        <f>_xlfn.XLOOKUP(C91,[2]customers!$A$2:$A$81,[2]customers!$E$2:$E$81,"Not Found")</f>
        <v>Consumer</v>
      </c>
      <c r="Q91" t="str">
        <f t="shared" si="5"/>
        <v>July</v>
      </c>
    </row>
    <row r="92" spans="1:17" x14ac:dyDescent="0.3">
      <c r="A92" s="1" t="s">
        <v>173</v>
      </c>
      <c r="B92" s="2">
        <v>45676</v>
      </c>
      <c r="C92" s="1" t="s">
        <v>73</v>
      </c>
      <c r="D92" s="1" t="s">
        <v>43</v>
      </c>
      <c r="E92" s="1" t="s">
        <v>26</v>
      </c>
      <c r="F92" s="1">
        <v>4</v>
      </c>
      <c r="G92" s="1">
        <v>0</v>
      </c>
      <c r="H92" s="1" t="s">
        <v>13</v>
      </c>
      <c r="I92" s="1">
        <v>18</v>
      </c>
      <c r="J92">
        <f>_xlfn.XLOOKUP(D92,[1]products!$A$2:$A$11,[1]products!$D$2:$D$11,"Not Found")</f>
        <v>160</v>
      </c>
      <c r="K92">
        <f t="shared" si="3"/>
        <v>640</v>
      </c>
      <c r="L92">
        <f>_xlfn.XLOOKUP(D92,[1]products!$A$2:$A$11,[1]products!$E$2:$E$11,"Not Found")</f>
        <v>38.4</v>
      </c>
      <c r="M92">
        <f t="shared" si="4"/>
        <v>468.4</v>
      </c>
      <c r="N92" t="str">
        <f>_xlfn.XLOOKUP(C92,[2]customers!$A$2:$A$81,[2]customers!$C$2:$C$81,"Not Found")</f>
        <v>West</v>
      </c>
      <c r="O92" t="str">
        <f>_xlfn.XLOOKUP(D92,[1]products!$A$2:$A$11,[1]products!$C$2:$C$11,"Not Found")</f>
        <v>Microwave</v>
      </c>
      <c r="P92" t="str">
        <f>_xlfn.XLOOKUP(C92,[2]customers!$A$2:$A$81,[2]customers!$E$2:$E$81,"Not Found")</f>
        <v>Corporate</v>
      </c>
      <c r="Q92" t="str">
        <f t="shared" si="5"/>
        <v>January</v>
      </c>
    </row>
    <row r="93" spans="1:17" x14ac:dyDescent="0.3">
      <c r="A93" s="1" t="s">
        <v>174</v>
      </c>
      <c r="B93" s="2">
        <v>45891</v>
      </c>
      <c r="C93" s="1" t="s">
        <v>133</v>
      </c>
      <c r="D93" s="1" t="s">
        <v>38</v>
      </c>
      <c r="E93" s="1" t="s">
        <v>16</v>
      </c>
      <c r="F93" s="1">
        <v>1</v>
      </c>
      <c r="G93" s="1">
        <v>0.1</v>
      </c>
      <c r="H93" s="1" t="s">
        <v>13</v>
      </c>
      <c r="I93" s="1">
        <v>20</v>
      </c>
      <c r="J93">
        <f>_xlfn.XLOOKUP(D93,[1]products!$A$2:$A$11,[1]products!$D$2:$D$11,"Not Found")</f>
        <v>210</v>
      </c>
      <c r="K93">
        <f t="shared" si="3"/>
        <v>189</v>
      </c>
      <c r="L93">
        <f>_xlfn.XLOOKUP(D93,[1]products!$A$2:$A$11,[1]products!$E$2:$E$11,"Not Found")</f>
        <v>52.5</v>
      </c>
      <c r="M93">
        <f t="shared" si="4"/>
        <v>116.5</v>
      </c>
      <c r="N93" t="str">
        <f>_xlfn.XLOOKUP(C93,[2]customers!$A$2:$A$81,[2]customers!$C$2:$C$81,"Not Found")</f>
        <v>South</v>
      </c>
      <c r="O93" t="str">
        <f>_xlfn.XLOOKUP(D93,[1]products!$A$2:$A$11,[1]products!$C$2:$C$11,"Not Found")</f>
        <v>Bookshelf</v>
      </c>
      <c r="P93" t="str">
        <f>_xlfn.XLOOKUP(C93,[2]customers!$A$2:$A$81,[2]customers!$E$2:$E$81,"Not Found")</f>
        <v>Home Office</v>
      </c>
      <c r="Q93" t="str">
        <f t="shared" si="5"/>
        <v>August</v>
      </c>
    </row>
    <row r="94" spans="1:17" x14ac:dyDescent="0.3">
      <c r="A94" s="1" t="s">
        <v>175</v>
      </c>
      <c r="B94" s="2">
        <v>45793</v>
      </c>
      <c r="C94" s="1" t="s">
        <v>176</v>
      </c>
      <c r="D94" s="1" t="s">
        <v>43</v>
      </c>
      <c r="E94" s="1" t="s">
        <v>12</v>
      </c>
      <c r="F94" s="1">
        <v>2</v>
      </c>
      <c r="G94" s="1">
        <v>0</v>
      </c>
      <c r="H94" s="1" t="s">
        <v>13</v>
      </c>
      <c r="I94" s="1">
        <v>18</v>
      </c>
      <c r="J94">
        <f>_xlfn.XLOOKUP(D94,[1]products!$A$2:$A$11,[1]products!$D$2:$D$11,"Not Found")</f>
        <v>160</v>
      </c>
      <c r="K94">
        <f t="shared" si="3"/>
        <v>320</v>
      </c>
      <c r="L94">
        <f>_xlfn.XLOOKUP(D94,[1]products!$A$2:$A$11,[1]products!$E$2:$E$11,"Not Found")</f>
        <v>38.4</v>
      </c>
      <c r="M94">
        <f t="shared" si="4"/>
        <v>225.2</v>
      </c>
      <c r="N94" t="str">
        <f>_xlfn.XLOOKUP(C94,[2]customers!$A$2:$A$81,[2]customers!$C$2:$C$81,"Not Found")</f>
        <v>West</v>
      </c>
      <c r="O94" t="str">
        <f>_xlfn.XLOOKUP(D94,[1]products!$A$2:$A$11,[1]products!$C$2:$C$11,"Not Found")</f>
        <v>Microwave</v>
      </c>
      <c r="P94" t="str">
        <f>_xlfn.XLOOKUP(C94,[2]customers!$A$2:$A$81,[2]customers!$E$2:$E$81,"Not Found")</f>
        <v>Home Office</v>
      </c>
      <c r="Q94" t="str">
        <f t="shared" si="5"/>
        <v>May</v>
      </c>
    </row>
    <row r="95" spans="1:17" x14ac:dyDescent="0.3">
      <c r="A95" s="1" t="s">
        <v>177</v>
      </c>
      <c r="B95" s="2">
        <v>45820</v>
      </c>
      <c r="C95" s="1" t="s">
        <v>178</v>
      </c>
      <c r="D95" s="1" t="s">
        <v>15</v>
      </c>
      <c r="E95" s="1" t="s">
        <v>50</v>
      </c>
      <c r="F95" s="1">
        <v>3</v>
      </c>
      <c r="G95" s="1">
        <v>0.15</v>
      </c>
      <c r="H95" s="1" t="s">
        <v>13</v>
      </c>
      <c r="I95" s="1">
        <v>18</v>
      </c>
      <c r="J95">
        <f>_xlfn.XLOOKUP(D95,[1]products!$A$2:$A$11,[1]products!$D$2:$D$11,"Not Found")</f>
        <v>600</v>
      </c>
      <c r="K95">
        <f t="shared" si="3"/>
        <v>1530</v>
      </c>
      <c r="L95">
        <f>_xlfn.XLOOKUP(D95,[1]products!$A$2:$A$11,[1]products!$E$2:$E$11,"Not Found")</f>
        <v>120</v>
      </c>
      <c r="M95">
        <f t="shared" si="4"/>
        <v>1152</v>
      </c>
      <c r="N95" t="str">
        <f>_xlfn.XLOOKUP(C95,[2]customers!$A$2:$A$81,[2]customers!$C$2:$C$81,"Not Found")</f>
        <v>East</v>
      </c>
      <c r="O95" t="str">
        <f>_xlfn.XLOOKUP(D95,[1]products!$A$2:$A$11,[1]products!$C$2:$C$11,"Not Found")</f>
        <v>Smartphone</v>
      </c>
      <c r="P95" t="str">
        <f>_xlfn.XLOOKUP(C95,[2]customers!$A$2:$A$81,[2]customers!$E$2:$E$81,"Not Found")</f>
        <v>Home Office</v>
      </c>
      <c r="Q95" t="str">
        <f t="shared" si="5"/>
        <v>June</v>
      </c>
    </row>
    <row r="96" spans="1:17" x14ac:dyDescent="0.3">
      <c r="A96" s="1" t="s">
        <v>179</v>
      </c>
      <c r="B96" s="2">
        <v>45805</v>
      </c>
      <c r="C96" s="1" t="s">
        <v>37</v>
      </c>
      <c r="D96" s="1" t="s">
        <v>71</v>
      </c>
      <c r="E96" s="1" t="s">
        <v>26</v>
      </c>
      <c r="F96" s="1">
        <v>1</v>
      </c>
      <c r="G96" s="1">
        <v>0</v>
      </c>
      <c r="H96" s="1" t="s">
        <v>13</v>
      </c>
      <c r="I96" s="1">
        <v>20</v>
      </c>
      <c r="J96">
        <f>_xlfn.XLOOKUP(D96,[1]products!$A$2:$A$11,[1]products!$D$2:$D$11,"Not Found")</f>
        <v>240</v>
      </c>
      <c r="K96">
        <f t="shared" si="3"/>
        <v>240</v>
      </c>
      <c r="L96">
        <f>_xlfn.XLOOKUP(D96,[1]products!$A$2:$A$11,[1]products!$E$2:$E$11,"Not Found")</f>
        <v>55.2</v>
      </c>
      <c r="M96">
        <f t="shared" si="4"/>
        <v>164.8</v>
      </c>
      <c r="N96" t="str">
        <f>_xlfn.XLOOKUP(C96,[2]customers!$A$2:$A$81,[2]customers!$C$2:$C$81,"Not Found")</f>
        <v>West</v>
      </c>
      <c r="O96" t="str">
        <f>_xlfn.XLOOKUP(D96,[1]products!$A$2:$A$11,[1]products!$C$2:$C$11,"Not Found")</f>
        <v>Vacuum Cleaner</v>
      </c>
      <c r="P96" t="str">
        <f>_xlfn.XLOOKUP(C96,[2]customers!$A$2:$A$81,[2]customers!$E$2:$E$81,"Not Found")</f>
        <v>Consumer</v>
      </c>
      <c r="Q96" t="str">
        <f t="shared" si="5"/>
        <v>May</v>
      </c>
    </row>
    <row r="97" spans="1:17" x14ac:dyDescent="0.3">
      <c r="A97" s="1" t="s">
        <v>180</v>
      </c>
      <c r="B97" s="2">
        <v>46013</v>
      </c>
      <c r="C97" s="1" t="s">
        <v>76</v>
      </c>
      <c r="D97" s="1" t="s">
        <v>43</v>
      </c>
      <c r="E97" s="1" t="s">
        <v>12</v>
      </c>
      <c r="F97" s="1">
        <v>1</v>
      </c>
      <c r="G97" s="1">
        <v>0</v>
      </c>
      <c r="H97" s="1" t="s">
        <v>13</v>
      </c>
      <c r="I97" s="1">
        <v>8</v>
      </c>
      <c r="J97">
        <f>_xlfn.XLOOKUP(D97,[1]products!$A$2:$A$11,[1]products!$D$2:$D$11,"Not Found")</f>
        <v>160</v>
      </c>
      <c r="K97">
        <f t="shared" si="3"/>
        <v>160</v>
      </c>
      <c r="L97">
        <f>_xlfn.XLOOKUP(D97,[1]products!$A$2:$A$11,[1]products!$E$2:$E$11,"Not Found")</f>
        <v>38.4</v>
      </c>
      <c r="M97">
        <f t="shared" si="4"/>
        <v>113.6</v>
      </c>
      <c r="N97" t="str">
        <f>_xlfn.XLOOKUP(C97,[2]customers!$A$2:$A$81,[2]customers!$C$2:$C$81,"Not Found")</f>
        <v>West</v>
      </c>
      <c r="O97" t="str">
        <f>_xlfn.XLOOKUP(D97,[1]products!$A$2:$A$11,[1]products!$C$2:$C$11,"Not Found")</f>
        <v>Microwave</v>
      </c>
      <c r="P97" t="str">
        <f>_xlfn.XLOOKUP(C97,[2]customers!$A$2:$A$81,[2]customers!$E$2:$E$81,"Not Found")</f>
        <v>Consumer</v>
      </c>
      <c r="Q97" t="str">
        <f t="shared" si="5"/>
        <v>December</v>
      </c>
    </row>
    <row r="98" spans="1:17" x14ac:dyDescent="0.3">
      <c r="A98" s="1" t="s">
        <v>181</v>
      </c>
      <c r="B98" s="2">
        <v>45878</v>
      </c>
      <c r="C98" s="1" t="s">
        <v>182</v>
      </c>
      <c r="D98" s="1" t="s">
        <v>38</v>
      </c>
      <c r="E98" s="1" t="s">
        <v>26</v>
      </c>
      <c r="F98" s="1">
        <v>1</v>
      </c>
      <c r="G98" s="1">
        <v>0.05</v>
      </c>
      <c r="H98" s="1" t="s">
        <v>13</v>
      </c>
      <c r="I98" s="1">
        <v>10</v>
      </c>
      <c r="J98">
        <f>_xlfn.XLOOKUP(D98,[1]products!$A$2:$A$11,[1]products!$D$2:$D$11,"Not Found")</f>
        <v>210</v>
      </c>
      <c r="K98">
        <f t="shared" si="3"/>
        <v>199.5</v>
      </c>
      <c r="L98">
        <f>_xlfn.XLOOKUP(D98,[1]products!$A$2:$A$11,[1]products!$E$2:$E$11,"Not Found")</f>
        <v>52.5</v>
      </c>
      <c r="M98">
        <f t="shared" si="4"/>
        <v>137</v>
      </c>
      <c r="N98" t="str">
        <f>_xlfn.XLOOKUP(C98,[2]customers!$A$2:$A$81,[2]customers!$C$2:$C$81,"Not Found")</f>
        <v>North</v>
      </c>
      <c r="O98" t="str">
        <f>_xlfn.XLOOKUP(D98,[1]products!$A$2:$A$11,[1]products!$C$2:$C$11,"Not Found")</f>
        <v>Bookshelf</v>
      </c>
      <c r="P98" t="str">
        <f>_xlfn.XLOOKUP(C98,[2]customers!$A$2:$A$81,[2]customers!$E$2:$E$81,"Not Found")</f>
        <v>Corporate</v>
      </c>
      <c r="Q98" t="str">
        <f t="shared" si="5"/>
        <v>August</v>
      </c>
    </row>
    <row r="99" spans="1:17" x14ac:dyDescent="0.3">
      <c r="A99" s="1" t="s">
        <v>183</v>
      </c>
      <c r="B99" s="2">
        <v>45698</v>
      </c>
      <c r="C99" s="1" t="s">
        <v>24</v>
      </c>
      <c r="D99" s="1" t="s">
        <v>43</v>
      </c>
      <c r="E99" s="1" t="s">
        <v>53</v>
      </c>
      <c r="F99" s="1">
        <v>5</v>
      </c>
      <c r="G99" s="1">
        <v>0</v>
      </c>
      <c r="H99" s="1" t="s">
        <v>13</v>
      </c>
      <c r="I99" s="1">
        <v>15</v>
      </c>
      <c r="J99">
        <f>_xlfn.XLOOKUP(D99,[1]products!$A$2:$A$11,[1]products!$D$2:$D$11,"Not Found")</f>
        <v>160</v>
      </c>
      <c r="K99">
        <f t="shared" si="3"/>
        <v>800</v>
      </c>
      <c r="L99">
        <f>_xlfn.XLOOKUP(D99,[1]products!$A$2:$A$11,[1]products!$E$2:$E$11,"Not Found")</f>
        <v>38.4</v>
      </c>
      <c r="M99">
        <f t="shared" si="4"/>
        <v>593</v>
      </c>
      <c r="N99" t="str">
        <f>_xlfn.XLOOKUP(C99,[2]customers!$A$2:$A$81,[2]customers!$C$2:$C$81,"Not Found")</f>
        <v>North</v>
      </c>
      <c r="O99" t="str">
        <f>_xlfn.XLOOKUP(D99,[1]products!$A$2:$A$11,[1]products!$C$2:$C$11,"Not Found")</f>
        <v>Microwave</v>
      </c>
      <c r="P99" t="str">
        <f>_xlfn.XLOOKUP(C99,[2]customers!$A$2:$A$81,[2]customers!$E$2:$E$81,"Not Found")</f>
        <v>Consumer</v>
      </c>
      <c r="Q99" t="str">
        <f t="shared" si="5"/>
        <v>February</v>
      </c>
    </row>
    <row r="100" spans="1:17" x14ac:dyDescent="0.3">
      <c r="A100" s="1" t="s">
        <v>184</v>
      </c>
      <c r="B100" s="2">
        <v>45894</v>
      </c>
      <c r="C100" s="1" t="s">
        <v>185</v>
      </c>
      <c r="D100" s="1" t="s">
        <v>11</v>
      </c>
      <c r="E100" s="1" t="s">
        <v>12</v>
      </c>
      <c r="F100" s="1">
        <v>4</v>
      </c>
      <c r="G100" s="1">
        <v>0.15</v>
      </c>
      <c r="H100" s="1" t="s">
        <v>13</v>
      </c>
      <c r="I100" s="1">
        <v>15</v>
      </c>
      <c r="J100">
        <f>_xlfn.XLOOKUP(D100,[1]products!$A$2:$A$11,[1]products!$D$2:$D$11,"Not Found")</f>
        <v>180</v>
      </c>
      <c r="K100">
        <f t="shared" si="3"/>
        <v>612</v>
      </c>
      <c r="L100">
        <f>_xlfn.XLOOKUP(D100,[1]products!$A$2:$A$11,[1]products!$E$2:$E$11,"Not Found")</f>
        <v>54</v>
      </c>
      <c r="M100">
        <f t="shared" si="4"/>
        <v>381</v>
      </c>
      <c r="N100" t="str">
        <f>_xlfn.XLOOKUP(C100,[2]customers!$A$2:$A$81,[2]customers!$C$2:$C$81,"Not Found")</f>
        <v>East</v>
      </c>
      <c r="O100" t="str">
        <f>_xlfn.XLOOKUP(D100,[1]products!$A$2:$A$11,[1]products!$C$2:$C$11,"Not Found")</f>
        <v>Office Chair</v>
      </c>
      <c r="P100" t="str">
        <f>_xlfn.XLOOKUP(C100,[2]customers!$A$2:$A$81,[2]customers!$E$2:$E$81,"Not Found")</f>
        <v>Consumer</v>
      </c>
      <c r="Q100" t="str">
        <f t="shared" si="5"/>
        <v>August</v>
      </c>
    </row>
    <row r="101" spans="1:17" x14ac:dyDescent="0.3">
      <c r="A101" s="1" t="s">
        <v>186</v>
      </c>
      <c r="B101" s="2">
        <v>45738</v>
      </c>
      <c r="C101" s="1" t="s">
        <v>106</v>
      </c>
      <c r="D101" s="1" t="s">
        <v>25</v>
      </c>
      <c r="E101" s="1" t="s">
        <v>16</v>
      </c>
      <c r="F101" s="1">
        <v>4</v>
      </c>
      <c r="G101" s="1">
        <v>0.05</v>
      </c>
      <c r="H101" s="1" t="s">
        <v>13</v>
      </c>
      <c r="I101" s="1">
        <v>15</v>
      </c>
      <c r="J101">
        <f>_xlfn.XLOOKUP(D101,[1]products!$A$2:$A$11,[1]products!$D$2:$D$11,"Not Found")</f>
        <v>850</v>
      </c>
      <c r="K101">
        <f t="shared" si="3"/>
        <v>3230</v>
      </c>
      <c r="L101">
        <f>_xlfn.XLOOKUP(D101,[1]products!$A$2:$A$11,[1]products!$E$2:$E$11,"Not Found")</f>
        <v>187</v>
      </c>
      <c r="M101">
        <f t="shared" si="4"/>
        <v>2467</v>
      </c>
      <c r="N101" t="str">
        <f>_xlfn.XLOOKUP(C101,[2]customers!$A$2:$A$81,[2]customers!$C$2:$C$81,"Not Found")</f>
        <v>North</v>
      </c>
      <c r="O101" t="str">
        <f>_xlfn.XLOOKUP(D101,[1]products!$A$2:$A$11,[1]products!$C$2:$C$11,"Not Found")</f>
        <v>Laptop</v>
      </c>
      <c r="P101" t="str">
        <f>_xlfn.XLOOKUP(C101,[2]customers!$A$2:$A$81,[2]customers!$E$2:$E$81,"Not Found")</f>
        <v>Corporate</v>
      </c>
      <c r="Q101" t="str">
        <f t="shared" si="5"/>
        <v>March</v>
      </c>
    </row>
    <row r="102" spans="1:17" x14ac:dyDescent="0.3">
      <c r="A102" s="1" t="s">
        <v>187</v>
      </c>
      <c r="B102" s="2">
        <v>45891</v>
      </c>
      <c r="C102" s="1" t="s">
        <v>49</v>
      </c>
      <c r="D102" s="1" t="s">
        <v>71</v>
      </c>
      <c r="E102" s="1" t="s">
        <v>12</v>
      </c>
      <c r="F102" s="1">
        <v>3</v>
      </c>
      <c r="G102" s="1">
        <v>0.1</v>
      </c>
      <c r="H102" s="1" t="s">
        <v>13</v>
      </c>
      <c r="I102" s="1">
        <v>10</v>
      </c>
      <c r="J102">
        <f>_xlfn.XLOOKUP(D102,[1]products!$A$2:$A$11,[1]products!$D$2:$D$11,"Not Found")</f>
        <v>240</v>
      </c>
      <c r="K102">
        <f t="shared" si="3"/>
        <v>648</v>
      </c>
      <c r="L102">
        <f>_xlfn.XLOOKUP(D102,[1]products!$A$2:$A$11,[1]products!$E$2:$E$11,"Not Found")</f>
        <v>55.2</v>
      </c>
      <c r="M102">
        <f t="shared" si="4"/>
        <v>472.4</v>
      </c>
      <c r="N102" t="str">
        <f>_xlfn.XLOOKUP(C102,[2]customers!$A$2:$A$81,[2]customers!$C$2:$C$81,"Not Found")</f>
        <v>West</v>
      </c>
      <c r="O102" t="str">
        <f>_xlfn.XLOOKUP(D102,[1]products!$A$2:$A$11,[1]products!$C$2:$C$11,"Not Found")</f>
        <v>Vacuum Cleaner</v>
      </c>
      <c r="P102" t="str">
        <f>_xlfn.XLOOKUP(C102,[2]customers!$A$2:$A$81,[2]customers!$E$2:$E$81,"Not Found")</f>
        <v>Consumer</v>
      </c>
      <c r="Q102" t="str">
        <f t="shared" si="5"/>
        <v>August</v>
      </c>
    </row>
    <row r="103" spans="1:17" x14ac:dyDescent="0.3">
      <c r="A103" s="1" t="s">
        <v>188</v>
      </c>
      <c r="B103" s="2">
        <v>45841</v>
      </c>
      <c r="C103" s="1" t="s">
        <v>81</v>
      </c>
      <c r="D103" s="1" t="s">
        <v>79</v>
      </c>
      <c r="E103" s="1" t="s">
        <v>53</v>
      </c>
      <c r="F103" s="1">
        <v>1</v>
      </c>
      <c r="G103" s="1">
        <v>0</v>
      </c>
      <c r="H103" s="1" t="s">
        <v>13</v>
      </c>
      <c r="I103" s="1">
        <v>12</v>
      </c>
      <c r="J103">
        <f>_xlfn.XLOOKUP(D103,[1]products!$A$2:$A$11,[1]products!$D$2:$D$11,"Not Found")</f>
        <v>70</v>
      </c>
      <c r="K103">
        <f t="shared" si="3"/>
        <v>70</v>
      </c>
      <c r="L103">
        <f>_xlfn.XLOOKUP(D103,[1]products!$A$2:$A$11,[1]products!$E$2:$E$11,"Not Found")</f>
        <v>22.4</v>
      </c>
      <c r="M103">
        <f t="shared" si="4"/>
        <v>35.6</v>
      </c>
      <c r="N103" t="str">
        <f>_xlfn.XLOOKUP(C103,[2]customers!$A$2:$A$81,[2]customers!$C$2:$C$81,"Not Found")</f>
        <v>West</v>
      </c>
      <c r="O103" t="str">
        <f>_xlfn.XLOOKUP(D103,[1]products!$A$2:$A$11,[1]products!$C$2:$C$11,"Not Found")</f>
        <v>Blender</v>
      </c>
      <c r="P103" t="str">
        <f>_xlfn.XLOOKUP(C103,[2]customers!$A$2:$A$81,[2]customers!$E$2:$E$81,"Not Found")</f>
        <v>Consumer</v>
      </c>
      <c r="Q103" t="str">
        <f t="shared" si="5"/>
        <v>July</v>
      </c>
    </row>
    <row r="104" spans="1:17" x14ac:dyDescent="0.3">
      <c r="A104" s="1" t="s">
        <v>189</v>
      </c>
      <c r="B104" s="2">
        <v>46009</v>
      </c>
      <c r="C104" s="1" t="s">
        <v>66</v>
      </c>
      <c r="D104" s="1" t="s">
        <v>25</v>
      </c>
      <c r="E104" s="1" t="s">
        <v>16</v>
      </c>
      <c r="F104" s="1">
        <v>4</v>
      </c>
      <c r="G104" s="1">
        <v>0.05</v>
      </c>
      <c r="H104" s="1" t="s">
        <v>13</v>
      </c>
      <c r="I104" s="1">
        <v>18</v>
      </c>
      <c r="J104">
        <f>_xlfn.XLOOKUP(D104,[1]products!$A$2:$A$11,[1]products!$D$2:$D$11,"Not Found")</f>
        <v>850</v>
      </c>
      <c r="K104">
        <f t="shared" si="3"/>
        <v>3230</v>
      </c>
      <c r="L104">
        <f>_xlfn.XLOOKUP(D104,[1]products!$A$2:$A$11,[1]products!$E$2:$E$11,"Not Found")</f>
        <v>187</v>
      </c>
      <c r="M104">
        <f t="shared" si="4"/>
        <v>2464</v>
      </c>
      <c r="N104" t="str">
        <f>_xlfn.XLOOKUP(C104,[2]customers!$A$2:$A$81,[2]customers!$C$2:$C$81,"Not Found")</f>
        <v>South</v>
      </c>
      <c r="O104" t="str">
        <f>_xlfn.XLOOKUP(D104,[1]products!$A$2:$A$11,[1]products!$C$2:$C$11,"Not Found")</f>
        <v>Laptop</v>
      </c>
      <c r="P104" t="str">
        <f>_xlfn.XLOOKUP(C104,[2]customers!$A$2:$A$81,[2]customers!$E$2:$E$81,"Not Found")</f>
        <v>Consumer</v>
      </c>
      <c r="Q104" t="str">
        <f t="shared" si="5"/>
        <v>December</v>
      </c>
    </row>
    <row r="105" spans="1:17" x14ac:dyDescent="0.3">
      <c r="A105" s="1" t="s">
        <v>190</v>
      </c>
      <c r="B105" s="2">
        <v>45770</v>
      </c>
      <c r="C105" s="1" t="s">
        <v>123</v>
      </c>
      <c r="D105" s="1" t="s">
        <v>21</v>
      </c>
      <c r="E105" s="1" t="s">
        <v>26</v>
      </c>
      <c r="F105" s="1">
        <v>2</v>
      </c>
      <c r="G105" s="1">
        <v>0.15</v>
      </c>
      <c r="H105" s="1" t="s">
        <v>22</v>
      </c>
      <c r="I105" s="1">
        <v>18</v>
      </c>
      <c r="J105">
        <f>_xlfn.XLOOKUP(D105,[1]products!$A$2:$A$11,[1]products!$D$2:$D$11,"Not Found")</f>
        <v>320</v>
      </c>
      <c r="K105">
        <f t="shared" si="3"/>
        <v>544</v>
      </c>
      <c r="L105">
        <f>_xlfn.XLOOKUP(D105,[1]products!$A$2:$A$11,[1]products!$E$2:$E$11,"Not Found")</f>
        <v>86.4</v>
      </c>
      <c r="M105">
        <f t="shared" si="4"/>
        <v>353.2</v>
      </c>
      <c r="N105" t="str">
        <f>_xlfn.XLOOKUP(C105,[2]customers!$A$2:$A$81,[2]customers!$C$2:$C$81,"Not Found")</f>
        <v>East</v>
      </c>
      <c r="O105" t="str">
        <f>_xlfn.XLOOKUP(D105,[1]products!$A$2:$A$11,[1]products!$C$2:$C$11,"Not Found")</f>
        <v>Desk</v>
      </c>
      <c r="P105" t="str">
        <f>_xlfn.XLOOKUP(C105,[2]customers!$A$2:$A$81,[2]customers!$E$2:$E$81,"Not Found")</f>
        <v>Consumer</v>
      </c>
      <c r="Q105" t="str">
        <f t="shared" si="5"/>
        <v>April</v>
      </c>
    </row>
    <row r="106" spans="1:17" x14ac:dyDescent="0.3">
      <c r="A106" s="1" t="s">
        <v>191</v>
      </c>
      <c r="B106" s="2">
        <v>45883</v>
      </c>
      <c r="C106" s="1" t="s">
        <v>106</v>
      </c>
      <c r="D106" s="1" t="s">
        <v>74</v>
      </c>
      <c r="E106" s="1" t="s">
        <v>16</v>
      </c>
      <c r="F106" s="1">
        <v>1</v>
      </c>
      <c r="G106" s="1">
        <v>0</v>
      </c>
      <c r="H106" s="1" t="s">
        <v>13</v>
      </c>
      <c r="I106" s="1">
        <v>18</v>
      </c>
      <c r="J106">
        <f>_xlfn.XLOOKUP(D106,[1]products!$A$2:$A$11,[1]products!$D$2:$D$11,"Not Found")</f>
        <v>90</v>
      </c>
      <c r="K106">
        <f t="shared" si="3"/>
        <v>90</v>
      </c>
      <c r="L106">
        <f>_xlfn.XLOOKUP(D106,[1]products!$A$2:$A$11,[1]products!$E$2:$E$11,"Not Found")</f>
        <v>25.2</v>
      </c>
      <c r="M106">
        <f t="shared" si="4"/>
        <v>46.8</v>
      </c>
      <c r="N106" t="str">
        <f>_xlfn.XLOOKUP(C106,[2]customers!$A$2:$A$81,[2]customers!$C$2:$C$81,"Not Found")</f>
        <v>North</v>
      </c>
      <c r="O106" t="str">
        <f>_xlfn.XLOOKUP(D106,[1]products!$A$2:$A$11,[1]products!$C$2:$C$11,"Not Found")</f>
        <v>Headphones</v>
      </c>
      <c r="P106" t="str">
        <f>_xlfn.XLOOKUP(C106,[2]customers!$A$2:$A$81,[2]customers!$E$2:$E$81,"Not Found")</f>
        <v>Corporate</v>
      </c>
      <c r="Q106" t="str">
        <f t="shared" si="5"/>
        <v>August</v>
      </c>
    </row>
    <row r="107" spans="1:17" x14ac:dyDescent="0.3">
      <c r="A107" s="1" t="s">
        <v>192</v>
      </c>
      <c r="B107" s="2">
        <v>45870</v>
      </c>
      <c r="C107" s="1" t="s">
        <v>40</v>
      </c>
      <c r="D107" s="1" t="s">
        <v>74</v>
      </c>
      <c r="E107" s="1" t="s">
        <v>26</v>
      </c>
      <c r="F107" s="1">
        <v>1</v>
      </c>
      <c r="G107" s="1">
        <v>0.05</v>
      </c>
      <c r="H107" s="1" t="s">
        <v>13</v>
      </c>
      <c r="I107" s="1">
        <v>10</v>
      </c>
      <c r="J107">
        <f>_xlfn.XLOOKUP(D107,[1]products!$A$2:$A$11,[1]products!$D$2:$D$11,"Not Found")</f>
        <v>90</v>
      </c>
      <c r="K107">
        <f t="shared" si="3"/>
        <v>85.5</v>
      </c>
      <c r="L107">
        <f>_xlfn.XLOOKUP(D107,[1]products!$A$2:$A$11,[1]products!$E$2:$E$11,"Not Found")</f>
        <v>25.2</v>
      </c>
      <c r="M107">
        <f t="shared" si="4"/>
        <v>50.3</v>
      </c>
      <c r="N107" t="str">
        <f>_xlfn.XLOOKUP(C107,[2]customers!$A$2:$A$81,[2]customers!$C$2:$C$81,"Not Found")</f>
        <v>North</v>
      </c>
      <c r="O107" t="str">
        <f>_xlfn.XLOOKUP(D107,[1]products!$A$2:$A$11,[1]products!$C$2:$C$11,"Not Found")</f>
        <v>Headphones</v>
      </c>
      <c r="P107" t="str">
        <f>_xlfn.XLOOKUP(C107,[2]customers!$A$2:$A$81,[2]customers!$E$2:$E$81,"Not Found")</f>
        <v>Home Office</v>
      </c>
      <c r="Q107" t="str">
        <f t="shared" si="5"/>
        <v>August</v>
      </c>
    </row>
    <row r="108" spans="1:17" x14ac:dyDescent="0.3">
      <c r="A108" s="1" t="s">
        <v>193</v>
      </c>
      <c r="B108" s="2">
        <v>45797</v>
      </c>
      <c r="C108" s="1" t="s">
        <v>194</v>
      </c>
      <c r="D108" s="1" t="s">
        <v>35</v>
      </c>
      <c r="E108" s="1" t="s">
        <v>26</v>
      </c>
      <c r="F108" s="1">
        <v>3</v>
      </c>
      <c r="G108" s="1">
        <v>0.15</v>
      </c>
      <c r="H108" s="1" t="s">
        <v>13</v>
      </c>
      <c r="I108" s="1">
        <v>12</v>
      </c>
      <c r="J108">
        <f>_xlfn.XLOOKUP(D108,[1]products!$A$2:$A$11,[1]products!$D$2:$D$11,"Not Found")</f>
        <v>130</v>
      </c>
      <c r="K108">
        <f t="shared" si="3"/>
        <v>331.5</v>
      </c>
      <c r="L108">
        <f>_xlfn.XLOOKUP(D108,[1]products!$A$2:$A$11,[1]products!$E$2:$E$11,"Not Found")</f>
        <v>33.799999999999997</v>
      </c>
      <c r="M108">
        <f t="shared" si="4"/>
        <v>218.10000000000002</v>
      </c>
      <c r="N108" t="str">
        <f>_xlfn.XLOOKUP(C108,[2]customers!$A$2:$A$81,[2]customers!$C$2:$C$81,"Not Found")</f>
        <v>East</v>
      </c>
      <c r="O108" t="str">
        <f>_xlfn.XLOOKUP(D108,[1]products!$A$2:$A$11,[1]products!$C$2:$C$11,"Not Found")</f>
        <v>Air Fryer</v>
      </c>
      <c r="P108" t="str">
        <f>_xlfn.XLOOKUP(C108,[2]customers!$A$2:$A$81,[2]customers!$E$2:$E$81,"Not Found")</f>
        <v>Corporate</v>
      </c>
      <c r="Q108" t="str">
        <f t="shared" si="5"/>
        <v>May</v>
      </c>
    </row>
    <row r="109" spans="1:17" x14ac:dyDescent="0.3">
      <c r="A109" s="1" t="s">
        <v>195</v>
      </c>
      <c r="B109" s="2">
        <v>45696</v>
      </c>
      <c r="C109" s="1" t="s">
        <v>119</v>
      </c>
      <c r="D109" s="1" t="s">
        <v>21</v>
      </c>
      <c r="E109" s="1" t="s">
        <v>26</v>
      </c>
      <c r="F109" s="1">
        <v>3</v>
      </c>
      <c r="G109" s="1">
        <v>0</v>
      </c>
      <c r="H109" s="1" t="s">
        <v>13</v>
      </c>
      <c r="I109" s="1">
        <v>10</v>
      </c>
      <c r="J109">
        <f>_xlfn.XLOOKUP(D109,[1]products!$A$2:$A$11,[1]products!$D$2:$D$11,"Not Found")</f>
        <v>320</v>
      </c>
      <c r="K109">
        <f t="shared" si="3"/>
        <v>960</v>
      </c>
      <c r="L109">
        <f>_xlfn.XLOOKUP(D109,[1]products!$A$2:$A$11,[1]products!$E$2:$E$11,"Not Found")</f>
        <v>86.4</v>
      </c>
      <c r="M109">
        <f t="shared" si="4"/>
        <v>690.8</v>
      </c>
      <c r="N109" t="str">
        <f>_xlfn.XLOOKUP(C109,[2]customers!$A$2:$A$81,[2]customers!$C$2:$C$81,"Not Found")</f>
        <v>West</v>
      </c>
      <c r="O109" t="str">
        <f>_xlfn.XLOOKUP(D109,[1]products!$A$2:$A$11,[1]products!$C$2:$C$11,"Not Found")</f>
        <v>Desk</v>
      </c>
      <c r="P109" t="str">
        <f>_xlfn.XLOOKUP(C109,[2]customers!$A$2:$A$81,[2]customers!$E$2:$E$81,"Not Found")</f>
        <v>Consumer</v>
      </c>
      <c r="Q109" t="str">
        <f t="shared" si="5"/>
        <v>February</v>
      </c>
    </row>
    <row r="110" spans="1:17" x14ac:dyDescent="0.3">
      <c r="A110" s="1" t="s">
        <v>196</v>
      </c>
      <c r="B110" s="2">
        <v>45665</v>
      </c>
      <c r="C110" s="1" t="s">
        <v>178</v>
      </c>
      <c r="D110" s="1" t="s">
        <v>35</v>
      </c>
      <c r="E110" s="1" t="s">
        <v>12</v>
      </c>
      <c r="F110" s="1">
        <v>3</v>
      </c>
      <c r="G110" s="1">
        <v>0</v>
      </c>
      <c r="H110" s="1" t="s">
        <v>22</v>
      </c>
      <c r="I110" s="1">
        <v>18</v>
      </c>
      <c r="J110">
        <f>_xlfn.XLOOKUP(D110,[1]products!$A$2:$A$11,[1]products!$D$2:$D$11,"Not Found")</f>
        <v>130</v>
      </c>
      <c r="K110">
        <f t="shared" si="3"/>
        <v>390</v>
      </c>
      <c r="L110">
        <f>_xlfn.XLOOKUP(D110,[1]products!$A$2:$A$11,[1]products!$E$2:$E$11,"Not Found")</f>
        <v>33.799999999999997</v>
      </c>
      <c r="M110">
        <f t="shared" si="4"/>
        <v>270.60000000000002</v>
      </c>
      <c r="N110" t="str">
        <f>_xlfn.XLOOKUP(C110,[2]customers!$A$2:$A$81,[2]customers!$C$2:$C$81,"Not Found")</f>
        <v>East</v>
      </c>
      <c r="O110" t="str">
        <f>_xlfn.XLOOKUP(D110,[1]products!$A$2:$A$11,[1]products!$C$2:$C$11,"Not Found")</f>
        <v>Air Fryer</v>
      </c>
      <c r="P110" t="str">
        <f>_xlfn.XLOOKUP(C110,[2]customers!$A$2:$A$81,[2]customers!$E$2:$E$81,"Not Found")</f>
        <v>Home Office</v>
      </c>
      <c r="Q110" t="str">
        <f t="shared" si="5"/>
        <v>January</v>
      </c>
    </row>
    <row r="111" spans="1:17" x14ac:dyDescent="0.3">
      <c r="A111" s="1" t="s">
        <v>197</v>
      </c>
      <c r="B111" s="2">
        <v>45984</v>
      </c>
      <c r="C111" s="1" t="s">
        <v>64</v>
      </c>
      <c r="D111" s="1" t="s">
        <v>79</v>
      </c>
      <c r="E111" s="1" t="s">
        <v>12</v>
      </c>
      <c r="F111" s="1">
        <v>3</v>
      </c>
      <c r="G111" s="1">
        <v>0.05</v>
      </c>
      <c r="H111" s="1" t="s">
        <v>13</v>
      </c>
      <c r="I111" s="1">
        <v>8</v>
      </c>
      <c r="J111">
        <f>_xlfn.XLOOKUP(D111,[1]products!$A$2:$A$11,[1]products!$D$2:$D$11,"Not Found")</f>
        <v>70</v>
      </c>
      <c r="K111">
        <f t="shared" si="3"/>
        <v>199.5</v>
      </c>
      <c r="L111">
        <f>_xlfn.XLOOKUP(D111,[1]products!$A$2:$A$11,[1]products!$E$2:$E$11,"Not Found")</f>
        <v>22.4</v>
      </c>
      <c r="M111">
        <f t="shared" si="4"/>
        <v>124.30000000000001</v>
      </c>
      <c r="N111" t="str">
        <f>_xlfn.XLOOKUP(C111,[2]customers!$A$2:$A$81,[2]customers!$C$2:$C$81,"Not Found")</f>
        <v>West</v>
      </c>
      <c r="O111" t="str">
        <f>_xlfn.XLOOKUP(D111,[1]products!$A$2:$A$11,[1]products!$C$2:$C$11,"Not Found")</f>
        <v>Blender</v>
      </c>
      <c r="P111" t="str">
        <f>_xlfn.XLOOKUP(C111,[2]customers!$A$2:$A$81,[2]customers!$E$2:$E$81,"Not Found")</f>
        <v>Corporate</v>
      </c>
      <c r="Q111" t="str">
        <f t="shared" si="5"/>
        <v>November</v>
      </c>
    </row>
    <row r="112" spans="1:17" x14ac:dyDescent="0.3">
      <c r="A112" s="1" t="s">
        <v>198</v>
      </c>
      <c r="B112" s="2">
        <v>45945</v>
      </c>
      <c r="C112" s="1" t="s">
        <v>150</v>
      </c>
      <c r="D112" s="1" t="s">
        <v>79</v>
      </c>
      <c r="E112" s="1" t="s">
        <v>12</v>
      </c>
      <c r="F112" s="1">
        <v>1</v>
      </c>
      <c r="G112" s="1">
        <v>0.15</v>
      </c>
      <c r="H112" s="1" t="s">
        <v>22</v>
      </c>
      <c r="I112" s="1">
        <v>18</v>
      </c>
      <c r="J112">
        <f>_xlfn.XLOOKUP(D112,[1]products!$A$2:$A$11,[1]products!$D$2:$D$11,"Not Found")</f>
        <v>70</v>
      </c>
      <c r="K112">
        <f t="shared" si="3"/>
        <v>59.5</v>
      </c>
      <c r="L112">
        <f>_xlfn.XLOOKUP(D112,[1]products!$A$2:$A$11,[1]products!$E$2:$E$11,"Not Found")</f>
        <v>22.4</v>
      </c>
      <c r="M112">
        <f t="shared" si="4"/>
        <v>19.100000000000001</v>
      </c>
      <c r="N112" t="str">
        <f>_xlfn.XLOOKUP(C112,[2]customers!$A$2:$A$81,[2]customers!$C$2:$C$81,"Not Found")</f>
        <v>North</v>
      </c>
      <c r="O112" t="str">
        <f>_xlfn.XLOOKUP(D112,[1]products!$A$2:$A$11,[1]products!$C$2:$C$11,"Not Found")</f>
        <v>Blender</v>
      </c>
      <c r="P112" t="str">
        <f>_xlfn.XLOOKUP(C112,[2]customers!$A$2:$A$81,[2]customers!$E$2:$E$81,"Not Found")</f>
        <v>Consumer</v>
      </c>
      <c r="Q112" t="str">
        <f t="shared" si="5"/>
        <v>October</v>
      </c>
    </row>
    <row r="113" spans="1:17" x14ac:dyDescent="0.3">
      <c r="A113" s="1" t="s">
        <v>199</v>
      </c>
      <c r="B113" s="2">
        <v>45717</v>
      </c>
      <c r="C113" s="1" t="s">
        <v>200</v>
      </c>
      <c r="D113" s="1" t="s">
        <v>15</v>
      </c>
      <c r="E113" s="1" t="s">
        <v>26</v>
      </c>
      <c r="F113" s="1">
        <v>4</v>
      </c>
      <c r="G113" s="1">
        <v>0.05</v>
      </c>
      <c r="H113" s="1" t="s">
        <v>13</v>
      </c>
      <c r="I113" s="1">
        <v>8</v>
      </c>
      <c r="J113">
        <f>_xlfn.XLOOKUP(D113,[1]products!$A$2:$A$11,[1]products!$D$2:$D$11,"Not Found")</f>
        <v>600</v>
      </c>
      <c r="K113">
        <f t="shared" si="3"/>
        <v>2280</v>
      </c>
      <c r="L113">
        <f>_xlfn.XLOOKUP(D113,[1]products!$A$2:$A$11,[1]products!$E$2:$E$11,"Not Found")</f>
        <v>120</v>
      </c>
      <c r="M113">
        <f t="shared" si="4"/>
        <v>1792</v>
      </c>
      <c r="N113" t="str">
        <f>_xlfn.XLOOKUP(C113,[2]customers!$A$2:$A$81,[2]customers!$C$2:$C$81,"Not Found")</f>
        <v>North</v>
      </c>
      <c r="O113" t="str">
        <f>_xlfn.XLOOKUP(D113,[1]products!$A$2:$A$11,[1]products!$C$2:$C$11,"Not Found")</f>
        <v>Smartphone</v>
      </c>
      <c r="P113" t="str">
        <f>_xlfn.XLOOKUP(C113,[2]customers!$A$2:$A$81,[2]customers!$E$2:$E$81,"Not Found")</f>
        <v>Consumer</v>
      </c>
      <c r="Q113" t="str">
        <f t="shared" si="5"/>
        <v>March</v>
      </c>
    </row>
    <row r="114" spans="1:17" x14ac:dyDescent="0.3">
      <c r="A114" s="1" t="s">
        <v>201</v>
      </c>
      <c r="B114" s="2">
        <v>45933</v>
      </c>
      <c r="C114" s="1" t="s">
        <v>37</v>
      </c>
      <c r="D114" s="1" t="s">
        <v>21</v>
      </c>
      <c r="E114" s="1" t="s">
        <v>26</v>
      </c>
      <c r="F114" s="1">
        <v>4</v>
      </c>
      <c r="G114" s="1">
        <v>0</v>
      </c>
      <c r="H114" s="1" t="s">
        <v>13</v>
      </c>
      <c r="I114" s="1">
        <v>15</v>
      </c>
      <c r="J114">
        <f>_xlfn.XLOOKUP(D114,[1]products!$A$2:$A$11,[1]products!$D$2:$D$11,"Not Found")</f>
        <v>320</v>
      </c>
      <c r="K114">
        <f t="shared" si="3"/>
        <v>1280</v>
      </c>
      <c r="L114">
        <f>_xlfn.XLOOKUP(D114,[1]products!$A$2:$A$11,[1]products!$E$2:$E$11,"Not Found")</f>
        <v>86.4</v>
      </c>
      <c r="M114">
        <f t="shared" si="4"/>
        <v>919.4</v>
      </c>
      <c r="N114" t="str">
        <f>_xlfn.XLOOKUP(C114,[2]customers!$A$2:$A$81,[2]customers!$C$2:$C$81,"Not Found")</f>
        <v>West</v>
      </c>
      <c r="O114" t="str">
        <f>_xlfn.XLOOKUP(D114,[1]products!$A$2:$A$11,[1]products!$C$2:$C$11,"Not Found")</f>
        <v>Desk</v>
      </c>
      <c r="P114" t="str">
        <f>_xlfn.XLOOKUP(C114,[2]customers!$A$2:$A$81,[2]customers!$E$2:$E$81,"Not Found")</f>
        <v>Consumer</v>
      </c>
      <c r="Q114" t="str">
        <f t="shared" si="5"/>
        <v>October</v>
      </c>
    </row>
    <row r="115" spans="1:17" x14ac:dyDescent="0.3">
      <c r="A115" s="1" t="s">
        <v>202</v>
      </c>
      <c r="B115" s="2">
        <v>45737</v>
      </c>
      <c r="C115" s="1" t="s">
        <v>84</v>
      </c>
      <c r="D115" s="1" t="s">
        <v>38</v>
      </c>
      <c r="E115" s="1" t="s">
        <v>50</v>
      </c>
      <c r="F115" s="1">
        <v>5</v>
      </c>
      <c r="G115" s="1">
        <v>0.1</v>
      </c>
      <c r="H115" s="1" t="s">
        <v>13</v>
      </c>
      <c r="I115" s="1">
        <v>20</v>
      </c>
      <c r="J115">
        <f>_xlfn.XLOOKUP(D115,[1]products!$A$2:$A$11,[1]products!$D$2:$D$11,"Not Found")</f>
        <v>210</v>
      </c>
      <c r="K115">
        <f t="shared" si="3"/>
        <v>945</v>
      </c>
      <c r="L115">
        <f>_xlfn.XLOOKUP(D115,[1]products!$A$2:$A$11,[1]products!$E$2:$E$11,"Not Found")</f>
        <v>52.5</v>
      </c>
      <c r="M115">
        <f t="shared" si="4"/>
        <v>662.5</v>
      </c>
      <c r="N115" t="str">
        <f>_xlfn.XLOOKUP(C115,[2]customers!$A$2:$A$81,[2]customers!$C$2:$C$81,"Not Found")</f>
        <v>North</v>
      </c>
      <c r="O115" t="str">
        <f>_xlfn.XLOOKUP(D115,[1]products!$A$2:$A$11,[1]products!$C$2:$C$11,"Not Found")</f>
        <v>Bookshelf</v>
      </c>
      <c r="P115" t="str">
        <f>_xlfn.XLOOKUP(C115,[2]customers!$A$2:$A$81,[2]customers!$E$2:$E$81,"Not Found")</f>
        <v>Corporate</v>
      </c>
      <c r="Q115" t="str">
        <f t="shared" si="5"/>
        <v>March</v>
      </c>
    </row>
    <row r="116" spans="1:17" x14ac:dyDescent="0.3">
      <c r="A116" s="1" t="s">
        <v>203</v>
      </c>
      <c r="B116" s="2">
        <v>45801</v>
      </c>
      <c r="C116" s="1" t="s">
        <v>145</v>
      </c>
      <c r="D116" s="1" t="s">
        <v>79</v>
      </c>
      <c r="E116" s="1" t="s">
        <v>16</v>
      </c>
      <c r="F116" s="1">
        <v>5</v>
      </c>
      <c r="G116" s="1">
        <v>0.1</v>
      </c>
      <c r="H116" s="1" t="s">
        <v>22</v>
      </c>
      <c r="I116" s="1">
        <v>20</v>
      </c>
      <c r="J116">
        <f>_xlfn.XLOOKUP(D116,[1]products!$A$2:$A$11,[1]products!$D$2:$D$11,"Not Found")</f>
        <v>70</v>
      </c>
      <c r="K116">
        <f t="shared" si="3"/>
        <v>315</v>
      </c>
      <c r="L116">
        <f>_xlfn.XLOOKUP(D116,[1]products!$A$2:$A$11,[1]products!$E$2:$E$11,"Not Found")</f>
        <v>22.4</v>
      </c>
      <c r="M116">
        <f t="shared" si="4"/>
        <v>183</v>
      </c>
      <c r="N116" t="str">
        <f>_xlfn.XLOOKUP(C116,[2]customers!$A$2:$A$81,[2]customers!$C$2:$C$81,"Not Found")</f>
        <v>East</v>
      </c>
      <c r="O116" t="str">
        <f>_xlfn.XLOOKUP(D116,[1]products!$A$2:$A$11,[1]products!$C$2:$C$11,"Not Found")</f>
        <v>Blender</v>
      </c>
      <c r="P116" t="str">
        <f>_xlfn.XLOOKUP(C116,[2]customers!$A$2:$A$81,[2]customers!$E$2:$E$81,"Not Found")</f>
        <v>Home Office</v>
      </c>
      <c r="Q116" t="str">
        <f t="shared" si="5"/>
        <v>May</v>
      </c>
    </row>
    <row r="117" spans="1:17" x14ac:dyDescent="0.3">
      <c r="A117" s="1" t="s">
        <v>204</v>
      </c>
      <c r="B117" s="2">
        <v>45843</v>
      </c>
      <c r="C117" s="1" t="s">
        <v>20</v>
      </c>
      <c r="D117" s="1" t="s">
        <v>11</v>
      </c>
      <c r="E117" s="1" t="s">
        <v>16</v>
      </c>
      <c r="F117" s="1">
        <v>4</v>
      </c>
      <c r="G117" s="1">
        <v>0.1</v>
      </c>
      <c r="H117" s="1" t="s">
        <v>62</v>
      </c>
      <c r="I117" s="1">
        <v>20</v>
      </c>
      <c r="J117">
        <f>_xlfn.XLOOKUP(D117,[1]products!$A$2:$A$11,[1]products!$D$2:$D$11,"Not Found")</f>
        <v>180</v>
      </c>
      <c r="K117">
        <f t="shared" si="3"/>
        <v>648</v>
      </c>
      <c r="L117">
        <f>_xlfn.XLOOKUP(D117,[1]products!$A$2:$A$11,[1]products!$E$2:$E$11,"Not Found")</f>
        <v>54</v>
      </c>
      <c r="M117">
        <f t="shared" si="4"/>
        <v>412</v>
      </c>
      <c r="N117" t="str">
        <f>_xlfn.XLOOKUP(C117,[2]customers!$A$2:$A$81,[2]customers!$C$2:$C$81,"Not Found")</f>
        <v>East</v>
      </c>
      <c r="O117" t="str">
        <f>_xlfn.XLOOKUP(D117,[1]products!$A$2:$A$11,[1]products!$C$2:$C$11,"Not Found")</f>
        <v>Office Chair</v>
      </c>
      <c r="P117" t="str">
        <f>_xlfn.XLOOKUP(C117,[2]customers!$A$2:$A$81,[2]customers!$E$2:$E$81,"Not Found")</f>
        <v>Home Office</v>
      </c>
      <c r="Q117" t="str">
        <f t="shared" si="5"/>
        <v>July</v>
      </c>
    </row>
    <row r="118" spans="1:17" x14ac:dyDescent="0.3">
      <c r="A118" s="1" t="s">
        <v>205</v>
      </c>
      <c r="B118" s="2">
        <v>45755</v>
      </c>
      <c r="C118" s="1" t="s">
        <v>20</v>
      </c>
      <c r="D118" s="1" t="s">
        <v>35</v>
      </c>
      <c r="E118" s="1" t="s">
        <v>16</v>
      </c>
      <c r="F118" s="1">
        <v>3</v>
      </c>
      <c r="G118" s="1">
        <v>0</v>
      </c>
      <c r="H118" s="1" t="s">
        <v>13</v>
      </c>
      <c r="I118" s="1">
        <v>15</v>
      </c>
      <c r="J118">
        <f>_xlfn.XLOOKUP(D118,[1]products!$A$2:$A$11,[1]products!$D$2:$D$11,"Not Found")</f>
        <v>130</v>
      </c>
      <c r="K118">
        <f t="shared" si="3"/>
        <v>390</v>
      </c>
      <c r="L118">
        <f>_xlfn.XLOOKUP(D118,[1]products!$A$2:$A$11,[1]products!$E$2:$E$11,"Not Found")</f>
        <v>33.799999999999997</v>
      </c>
      <c r="M118">
        <f t="shared" si="4"/>
        <v>273.60000000000002</v>
      </c>
      <c r="N118" t="str">
        <f>_xlfn.XLOOKUP(C118,[2]customers!$A$2:$A$81,[2]customers!$C$2:$C$81,"Not Found")</f>
        <v>East</v>
      </c>
      <c r="O118" t="str">
        <f>_xlfn.XLOOKUP(D118,[1]products!$A$2:$A$11,[1]products!$C$2:$C$11,"Not Found")</f>
        <v>Air Fryer</v>
      </c>
      <c r="P118" t="str">
        <f>_xlfn.XLOOKUP(C118,[2]customers!$A$2:$A$81,[2]customers!$E$2:$E$81,"Not Found")</f>
        <v>Home Office</v>
      </c>
      <c r="Q118" t="str">
        <f t="shared" si="5"/>
        <v>April</v>
      </c>
    </row>
    <row r="119" spans="1:17" x14ac:dyDescent="0.3">
      <c r="A119" s="1" t="s">
        <v>206</v>
      </c>
      <c r="B119" s="2">
        <v>45828</v>
      </c>
      <c r="C119" s="1" t="s">
        <v>76</v>
      </c>
      <c r="D119" s="1" t="s">
        <v>11</v>
      </c>
      <c r="E119" s="1" t="s">
        <v>26</v>
      </c>
      <c r="F119" s="1">
        <v>5</v>
      </c>
      <c r="G119" s="1">
        <v>0</v>
      </c>
      <c r="H119" s="1" t="s">
        <v>13</v>
      </c>
      <c r="I119" s="1">
        <v>10</v>
      </c>
      <c r="J119">
        <f>_xlfn.XLOOKUP(D119,[1]products!$A$2:$A$11,[1]products!$D$2:$D$11,"Not Found")</f>
        <v>180</v>
      </c>
      <c r="K119">
        <f t="shared" si="3"/>
        <v>900</v>
      </c>
      <c r="L119">
        <f>_xlfn.XLOOKUP(D119,[1]products!$A$2:$A$11,[1]products!$E$2:$E$11,"Not Found")</f>
        <v>54</v>
      </c>
      <c r="M119">
        <f t="shared" si="4"/>
        <v>620</v>
      </c>
      <c r="N119" t="str">
        <f>_xlfn.XLOOKUP(C119,[2]customers!$A$2:$A$81,[2]customers!$C$2:$C$81,"Not Found")</f>
        <v>West</v>
      </c>
      <c r="O119" t="str">
        <f>_xlfn.XLOOKUP(D119,[1]products!$A$2:$A$11,[1]products!$C$2:$C$11,"Not Found")</f>
        <v>Office Chair</v>
      </c>
      <c r="P119" t="str">
        <f>_xlfn.XLOOKUP(C119,[2]customers!$A$2:$A$81,[2]customers!$E$2:$E$81,"Not Found")</f>
        <v>Consumer</v>
      </c>
      <c r="Q119" t="str">
        <f t="shared" si="5"/>
        <v>June</v>
      </c>
    </row>
    <row r="120" spans="1:17" x14ac:dyDescent="0.3">
      <c r="A120" s="1" t="s">
        <v>207</v>
      </c>
      <c r="B120" s="2">
        <v>45768</v>
      </c>
      <c r="C120" s="1" t="s">
        <v>68</v>
      </c>
      <c r="D120" s="1" t="s">
        <v>11</v>
      </c>
      <c r="E120" s="1" t="s">
        <v>26</v>
      </c>
      <c r="F120" s="1">
        <v>1</v>
      </c>
      <c r="G120" s="1">
        <v>0.15</v>
      </c>
      <c r="H120" s="1" t="s">
        <v>13</v>
      </c>
      <c r="I120" s="1">
        <v>12</v>
      </c>
      <c r="J120">
        <f>_xlfn.XLOOKUP(D120,[1]products!$A$2:$A$11,[1]products!$D$2:$D$11,"Not Found")</f>
        <v>180</v>
      </c>
      <c r="K120">
        <f t="shared" si="3"/>
        <v>153</v>
      </c>
      <c r="L120">
        <f>_xlfn.XLOOKUP(D120,[1]products!$A$2:$A$11,[1]products!$E$2:$E$11,"Not Found")</f>
        <v>54</v>
      </c>
      <c r="M120">
        <f t="shared" si="4"/>
        <v>87</v>
      </c>
      <c r="N120" t="str">
        <f>_xlfn.XLOOKUP(C120,[2]customers!$A$2:$A$81,[2]customers!$C$2:$C$81,"Not Found")</f>
        <v>West</v>
      </c>
      <c r="O120" t="str">
        <f>_xlfn.XLOOKUP(D120,[1]products!$A$2:$A$11,[1]products!$C$2:$C$11,"Not Found")</f>
        <v>Office Chair</v>
      </c>
      <c r="P120" t="str">
        <f>_xlfn.XLOOKUP(C120,[2]customers!$A$2:$A$81,[2]customers!$E$2:$E$81,"Not Found")</f>
        <v>Corporate</v>
      </c>
      <c r="Q120" t="str">
        <f t="shared" si="5"/>
        <v>April</v>
      </c>
    </row>
    <row r="121" spans="1:17" x14ac:dyDescent="0.3">
      <c r="A121" s="1" t="s">
        <v>208</v>
      </c>
      <c r="B121" s="2">
        <v>45732</v>
      </c>
      <c r="C121" s="1" t="s">
        <v>176</v>
      </c>
      <c r="D121" s="1" t="s">
        <v>71</v>
      </c>
      <c r="E121" s="1" t="s">
        <v>26</v>
      </c>
      <c r="F121" s="1">
        <v>1</v>
      </c>
      <c r="G121" s="1">
        <v>0.05</v>
      </c>
      <c r="H121" s="1" t="s">
        <v>22</v>
      </c>
      <c r="I121" s="1">
        <v>18</v>
      </c>
      <c r="J121">
        <f>_xlfn.XLOOKUP(D121,[1]products!$A$2:$A$11,[1]products!$D$2:$D$11,"Not Found")</f>
        <v>240</v>
      </c>
      <c r="K121">
        <f t="shared" si="3"/>
        <v>228</v>
      </c>
      <c r="L121">
        <f>_xlfn.XLOOKUP(D121,[1]products!$A$2:$A$11,[1]products!$E$2:$E$11,"Not Found")</f>
        <v>55.2</v>
      </c>
      <c r="M121">
        <f t="shared" si="4"/>
        <v>154.80000000000001</v>
      </c>
      <c r="N121" t="str">
        <f>_xlfn.XLOOKUP(C121,[2]customers!$A$2:$A$81,[2]customers!$C$2:$C$81,"Not Found")</f>
        <v>West</v>
      </c>
      <c r="O121" t="str">
        <f>_xlfn.XLOOKUP(D121,[1]products!$A$2:$A$11,[1]products!$C$2:$C$11,"Not Found")</f>
        <v>Vacuum Cleaner</v>
      </c>
      <c r="P121" t="str">
        <f>_xlfn.XLOOKUP(C121,[2]customers!$A$2:$A$81,[2]customers!$E$2:$E$81,"Not Found")</f>
        <v>Home Office</v>
      </c>
      <c r="Q121" t="str">
        <f t="shared" si="5"/>
        <v>March</v>
      </c>
    </row>
    <row r="122" spans="1:17" x14ac:dyDescent="0.3">
      <c r="A122" s="1" t="s">
        <v>209</v>
      </c>
      <c r="B122" s="2">
        <v>45841</v>
      </c>
      <c r="C122" s="1" t="s">
        <v>106</v>
      </c>
      <c r="D122" s="1" t="s">
        <v>74</v>
      </c>
      <c r="E122" s="1" t="s">
        <v>26</v>
      </c>
      <c r="F122" s="1">
        <v>1</v>
      </c>
      <c r="G122" s="1">
        <v>0</v>
      </c>
      <c r="H122" s="1" t="s">
        <v>13</v>
      </c>
      <c r="I122" s="1">
        <v>18</v>
      </c>
      <c r="J122">
        <f>_xlfn.XLOOKUP(D122,[1]products!$A$2:$A$11,[1]products!$D$2:$D$11,"Not Found")</f>
        <v>90</v>
      </c>
      <c r="K122">
        <f t="shared" si="3"/>
        <v>90</v>
      </c>
      <c r="L122">
        <f>_xlfn.XLOOKUP(D122,[1]products!$A$2:$A$11,[1]products!$E$2:$E$11,"Not Found")</f>
        <v>25.2</v>
      </c>
      <c r="M122">
        <f t="shared" si="4"/>
        <v>46.8</v>
      </c>
      <c r="N122" t="str">
        <f>_xlfn.XLOOKUP(C122,[2]customers!$A$2:$A$81,[2]customers!$C$2:$C$81,"Not Found")</f>
        <v>North</v>
      </c>
      <c r="O122" t="str">
        <f>_xlfn.XLOOKUP(D122,[1]products!$A$2:$A$11,[1]products!$C$2:$C$11,"Not Found")</f>
        <v>Headphones</v>
      </c>
      <c r="P122" t="str">
        <f>_xlfn.XLOOKUP(C122,[2]customers!$A$2:$A$81,[2]customers!$E$2:$E$81,"Not Found")</f>
        <v>Corporate</v>
      </c>
      <c r="Q122" t="str">
        <f t="shared" si="5"/>
        <v>July</v>
      </c>
    </row>
    <row r="123" spans="1:17" x14ac:dyDescent="0.3">
      <c r="A123" s="1" t="s">
        <v>210</v>
      </c>
      <c r="B123" s="2">
        <v>45873</v>
      </c>
      <c r="C123" s="1" t="s">
        <v>156</v>
      </c>
      <c r="D123" s="1" t="s">
        <v>25</v>
      </c>
      <c r="E123" s="1" t="s">
        <v>53</v>
      </c>
      <c r="F123" s="1">
        <v>2</v>
      </c>
      <c r="G123" s="1">
        <v>0.05</v>
      </c>
      <c r="H123" s="1" t="s">
        <v>13</v>
      </c>
      <c r="I123" s="1">
        <v>8</v>
      </c>
      <c r="J123">
        <f>_xlfn.XLOOKUP(D123,[1]products!$A$2:$A$11,[1]products!$D$2:$D$11,"Not Found")</f>
        <v>850</v>
      </c>
      <c r="K123">
        <f t="shared" si="3"/>
        <v>1615</v>
      </c>
      <c r="L123">
        <f>_xlfn.XLOOKUP(D123,[1]products!$A$2:$A$11,[1]products!$E$2:$E$11,"Not Found")</f>
        <v>187</v>
      </c>
      <c r="M123">
        <f t="shared" si="4"/>
        <v>1233</v>
      </c>
      <c r="N123" t="str">
        <f>_xlfn.XLOOKUP(C123,[2]customers!$A$2:$A$81,[2]customers!$C$2:$C$81,"Not Found")</f>
        <v>West</v>
      </c>
      <c r="O123" t="str">
        <f>_xlfn.XLOOKUP(D123,[1]products!$A$2:$A$11,[1]products!$C$2:$C$11,"Not Found")</f>
        <v>Laptop</v>
      </c>
      <c r="P123" t="str">
        <f>_xlfn.XLOOKUP(C123,[2]customers!$A$2:$A$81,[2]customers!$E$2:$E$81,"Not Found")</f>
        <v>Corporate</v>
      </c>
      <c r="Q123" t="str">
        <f t="shared" si="5"/>
        <v>August</v>
      </c>
    </row>
    <row r="124" spans="1:17" x14ac:dyDescent="0.3">
      <c r="A124" s="1" t="s">
        <v>211</v>
      </c>
      <c r="B124" s="2">
        <v>45713</v>
      </c>
      <c r="C124" s="1" t="s">
        <v>108</v>
      </c>
      <c r="D124" s="1" t="s">
        <v>79</v>
      </c>
      <c r="E124" s="1" t="s">
        <v>50</v>
      </c>
      <c r="F124" s="1">
        <v>4</v>
      </c>
      <c r="G124" s="1">
        <v>0.05</v>
      </c>
      <c r="H124" s="1" t="s">
        <v>13</v>
      </c>
      <c r="I124" s="1">
        <v>18</v>
      </c>
      <c r="J124">
        <f>_xlfn.XLOOKUP(D124,[1]products!$A$2:$A$11,[1]products!$D$2:$D$11,"Not Found")</f>
        <v>70</v>
      </c>
      <c r="K124">
        <f t="shared" si="3"/>
        <v>266</v>
      </c>
      <c r="L124">
        <f>_xlfn.XLOOKUP(D124,[1]products!$A$2:$A$11,[1]products!$E$2:$E$11,"Not Found")</f>
        <v>22.4</v>
      </c>
      <c r="M124">
        <f t="shared" si="4"/>
        <v>158.4</v>
      </c>
      <c r="N124" t="str">
        <f>_xlfn.XLOOKUP(C124,[2]customers!$A$2:$A$81,[2]customers!$C$2:$C$81,"Not Found")</f>
        <v>East</v>
      </c>
      <c r="O124" t="str">
        <f>_xlfn.XLOOKUP(D124,[1]products!$A$2:$A$11,[1]products!$C$2:$C$11,"Not Found")</f>
        <v>Blender</v>
      </c>
      <c r="P124" t="str">
        <f>_xlfn.XLOOKUP(C124,[2]customers!$A$2:$A$81,[2]customers!$E$2:$E$81,"Not Found")</f>
        <v>Consumer</v>
      </c>
      <c r="Q124" t="str">
        <f t="shared" si="5"/>
        <v>February</v>
      </c>
    </row>
    <row r="125" spans="1:17" x14ac:dyDescent="0.3">
      <c r="A125" s="1" t="s">
        <v>212</v>
      </c>
      <c r="B125" s="2">
        <v>45987</v>
      </c>
      <c r="C125" s="1" t="s">
        <v>200</v>
      </c>
      <c r="D125" s="1" t="s">
        <v>71</v>
      </c>
      <c r="E125" s="1" t="s">
        <v>16</v>
      </c>
      <c r="F125" s="1">
        <v>1</v>
      </c>
      <c r="G125" s="1">
        <v>0.15</v>
      </c>
      <c r="H125" s="1" t="s">
        <v>13</v>
      </c>
      <c r="I125" s="1">
        <v>8</v>
      </c>
      <c r="J125">
        <f>_xlfn.XLOOKUP(D125,[1]products!$A$2:$A$11,[1]products!$D$2:$D$11,"Not Found")</f>
        <v>240</v>
      </c>
      <c r="K125">
        <f t="shared" si="3"/>
        <v>204</v>
      </c>
      <c r="L125">
        <f>_xlfn.XLOOKUP(D125,[1]products!$A$2:$A$11,[1]products!$E$2:$E$11,"Not Found")</f>
        <v>55.2</v>
      </c>
      <c r="M125">
        <f t="shared" si="4"/>
        <v>140.80000000000001</v>
      </c>
      <c r="N125" t="str">
        <f>_xlfn.XLOOKUP(C125,[2]customers!$A$2:$A$81,[2]customers!$C$2:$C$81,"Not Found")</f>
        <v>North</v>
      </c>
      <c r="O125" t="str">
        <f>_xlfn.XLOOKUP(D125,[1]products!$A$2:$A$11,[1]products!$C$2:$C$11,"Not Found")</f>
        <v>Vacuum Cleaner</v>
      </c>
      <c r="P125" t="str">
        <f>_xlfn.XLOOKUP(C125,[2]customers!$A$2:$A$81,[2]customers!$E$2:$E$81,"Not Found")</f>
        <v>Consumer</v>
      </c>
      <c r="Q125" t="str">
        <f t="shared" si="5"/>
        <v>November</v>
      </c>
    </row>
    <row r="126" spans="1:17" x14ac:dyDescent="0.3">
      <c r="A126" s="1" t="s">
        <v>213</v>
      </c>
      <c r="B126" s="2">
        <v>45885</v>
      </c>
      <c r="C126" s="1" t="s">
        <v>119</v>
      </c>
      <c r="D126" s="1" t="s">
        <v>43</v>
      </c>
      <c r="E126" s="1" t="s">
        <v>16</v>
      </c>
      <c r="F126" s="1">
        <v>4</v>
      </c>
      <c r="G126" s="1">
        <v>0</v>
      </c>
      <c r="H126" s="1" t="s">
        <v>13</v>
      </c>
      <c r="I126" s="1">
        <v>8</v>
      </c>
      <c r="J126">
        <f>_xlfn.XLOOKUP(D126,[1]products!$A$2:$A$11,[1]products!$D$2:$D$11,"Not Found")</f>
        <v>160</v>
      </c>
      <c r="K126">
        <f t="shared" si="3"/>
        <v>640</v>
      </c>
      <c r="L126">
        <f>_xlfn.XLOOKUP(D126,[1]products!$A$2:$A$11,[1]products!$E$2:$E$11,"Not Found")</f>
        <v>38.4</v>
      </c>
      <c r="M126">
        <f t="shared" si="4"/>
        <v>478.4</v>
      </c>
      <c r="N126" t="str">
        <f>_xlfn.XLOOKUP(C126,[2]customers!$A$2:$A$81,[2]customers!$C$2:$C$81,"Not Found")</f>
        <v>West</v>
      </c>
      <c r="O126" t="str">
        <f>_xlfn.XLOOKUP(D126,[1]products!$A$2:$A$11,[1]products!$C$2:$C$11,"Not Found")</f>
        <v>Microwave</v>
      </c>
      <c r="P126" t="str">
        <f>_xlfn.XLOOKUP(C126,[2]customers!$A$2:$A$81,[2]customers!$E$2:$E$81,"Not Found")</f>
        <v>Consumer</v>
      </c>
      <c r="Q126" t="str">
        <f t="shared" si="5"/>
        <v>August</v>
      </c>
    </row>
    <row r="127" spans="1:17" x14ac:dyDescent="0.3">
      <c r="A127" s="1" t="s">
        <v>214</v>
      </c>
      <c r="B127" s="2">
        <v>45977</v>
      </c>
      <c r="C127" s="1" t="s">
        <v>156</v>
      </c>
      <c r="D127" s="1" t="s">
        <v>71</v>
      </c>
      <c r="E127" s="1" t="s">
        <v>53</v>
      </c>
      <c r="F127" s="1">
        <v>2</v>
      </c>
      <c r="G127" s="1">
        <v>0</v>
      </c>
      <c r="H127" s="1" t="s">
        <v>13</v>
      </c>
      <c r="I127" s="1">
        <v>18</v>
      </c>
      <c r="J127">
        <f>_xlfn.XLOOKUP(D127,[1]products!$A$2:$A$11,[1]products!$D$2:$D$11,"Not Found")</f>
        <v>240</v>
      </c>
      <c r="K127">
        <f t="shared" si="3"/>
        <v>480</v>
      </c>
      <c r="L127">
        <f>_xlfn.XLOOKUP(D127,[1]products!$A$2:$A$11,[1]products!$E$2:$E$11,"Not Found")</f>
        <v>55.2</v>
      </c>
      <c r="M127">
        <f t="shared" si="4"/>
        <v>351.6</v>
      </c>
      <c r="N127" t="str">
        <f>_xlfn.XLOOKUP(C127,[2]customers!$A$2:$A$81,[2]customers!$C$2:$C$81,"Not Found")</f>
        <v>West</v>
      </c>
      <c r="O127" t="str">
        <f>_xlfn.XLOOKUP(D127,[1]products!$A$2:$A$11,[1]products!$C$2:$C$11,"Not Found")</f>
        <v>Vacuum Cleaner</v>
      </c>
      <c r="P127" t="str">
        <f>_xlfn.XLOOKUP(C127,[2]customers!$A$2:$A$81,[2]customers!$E$2:$E$81,"Not Found")</f>
        <v>Corporate</v>
      </c>
      <c r="Q127" t="str">
        <f t="shared" si="5"/>
        <v>November</v>
      </c>
    </row>
    <row r="128" spans="1:17" x14ac:dyDescent="0.3">
      <c r="A128" s="1" t="s">
        <v>215</v>
      </c>
      <c r="B128" s="2">
        <v>45916</v>
      </c>
      <c r="C128" s="1" t="s">
        <v>156</v>
      </c>
      <c r="D128" s="1" t="s">
        <v>43</v>
      </c>
      <c r="E128" s="1" t="s">
        <v>53</v>
      </c>
      <c r="F128" s="1">
        <v>5</v>
      </c>
      <c r="G128" s="1">
        <v>0.15</v>
      </c>
      <c r="H128" s="1" t="s">
        <v>13</v>
      </c>
      <c r="I128" s="1">
        <v>15</v>
      </c>
      <c r="J128">
        <f>_xlfn.XLOOKUP(D128,[1]products!$A$2:$A$11,[1]products!$D$2:$D$11,"Not Found")</f>
        <v>160</v>
      </c>
      <c r="K128">
        <f t="shared" si="3"/>
        <v>680</v>
      </c>
      <c r="L128">
        <f>_xlfn.XLOOKUP(D128,[1]products!$A$2:$A$11,[1]products!$E$2:$E$11,"Not Found")</f>
        <v>38.4</v>
      </c>
      <c r="M128">
        <f t="shared" si="4"/>
        <v>473</v>
      </c>
      <c r="N128" t="str">
        <f>_xlfn.XLOOKUP(C128,[2]customers!$A$2:$A$81,[2]customers!$C$2:$C$81,"Not Found")</f>
        <v>West</v>
      </c>
      <c r="O128" t="str">
        <f>_xlfn.XLOOKUP(D128,[1]products!$A$2:$A$11,[1]products!$C$2:$C$11,"Not Found")</f>
        <v>Microwave</v>
      </c>
      <c r="P128" t="str">
        <f>_xlfn.XLOOKUP(C128,[2]customers!$A$2:$A$81,[2]customers!$E$2:$E$81,"Not Found")</f>
        <v>Corporate</v>
      </c>
      <c r="Q128" t="str">
        <f t="shared" si="5"/>
        <v>September</v>
      </c>
    </row>
    <row r="129" spans="1:17" x14ac:dyDescent="0.3">
      <c r="A129" s="1" t="s">
        <v>216</v>
      </c>
      <c r="B129" s="2">
        <v>45774</v>
      </c>
      <c r="C129" s="1" t="s">
        <v>145</v>
      </c>
      <c r="D129" s="1" t="s">
        <v>15</v>
      </c>
      <c r="E129" s="1" t="s">
        <v>50</v>
      </c>
      <c r="F129" s="1">
        <v>5</v>
      </c>
      <c r="G129" s="1">
        <v>0</v>
      </c>
      <c r="H129" s="1" t="s">
        <v>13</v>
      </c>
      <c r="I129" s="1">
        <v>12</v>
      </c>
      <c r="J129">
        <f>_xlfn.XLOOKUP(D129,[1]products!$A$2:$A$11,[1]products!$D$2:$D$11,"Not Found")</f>
        <v>600</v>
      </c>
      <c r="K129">
        <f t="shared" si="3"/>
        <v>3000</v>
      </c>
      <c r="L129">
        <f>_xlfn.XLOOKUP(D129,[1]products!$A$2:$A$11,[1]products!$E$2:$E$11,"Not Found")</f>
        <v>120</v>
      </c>
      <c r="M129">
        <f t="shared" si="4"/>
        <v>2388</v>
      </c>
      <c r="N129" t="str">
        <f>_xlfn.XLOOKUP(C129,[2]customers!$A$2:$A$81,[2]customers!$C$2:$C$81,"Not Found")</f>
        <v>East</v>
      </c>
      <c r="O129" t="str">
        <f>_xlfn.XLOOKUP(D129,[1]products!$A$2:$A$11,[1]products!$C$2:$C$11,"Not Found")</f>
        <v>Smartphone</v>
      </c>
      <c r="P129" t="str">
        <f>_xlfn.XLOOKUP(C129,[2]customers!$A$2:$A$81,[2]customers!$E$2:$E$81,"Not Found")</f>
        <v>Home Office</v>
      </c>
      <c r="Q129" t="str">
        <f t="shared" si="5"/>
        <v>April</v>
      </c>
    </row>
    <row r="130" spans="1:17" x14ac:dyDescent="0.3">
      <c r="A130" s="1" t="s">
        <v>217</v>
      </c>
      <c r="B130" s="2">
        <v>45818</v>
      </c>
      <c r="C130" s="1" t="s">
        <v>84</v>
      </c>
      <c r="D130" s="1" t="s">
        <v>43</v>
      </c>
      <c r="E130" s="1" t="s">
        <v>12</v>
      </c>
      <c r="F130" s="1">
        <v>4</v>
      </c>
      <c r="G130" s="1">
        <v>0</v>
      </c>
      <c r="H130" s="1" t="s">
        <v>13</v>
      </c>
      <c r="I130" s="1">
        <v>12</v>
      </c>
      <c r="J130">
        <f>_xlfn.XLOOKUP(D130,[1]products!$A$2:$A$11,[1]products!$D$2:$D$11,"Not Found")</f>
        <v>160</v>
      </c>
      <c r="K130">
        <f t="shared" si="3"/>
        <v>640</v>
      </c>
      <c r="L130">
        <f>_xlfn.XLOOKUP(D130,[1]products!$A$2:$A$11,[1]products!$E$2:$E$11,"Not Found")</f>
        <v>38.4</v>
      </c>
      <c r="M130">
        <f t="shared" si="4"/>
        <v>474.4</v>
      </c>
      <c r="N130" t="str">
        <f>_xlfn.XLOOKUP(C130,[2]customers!$A$2:$A$81,[2]customers!$C$2:$C$81,"Not Found")</f>
        <v>North</v>
      </c>
      <c r="O130" t="str">
        <f>_xlfn.XLOOKUP(D130,[1]products!$A$2:$A$11,[1]products!$C$2:$C$11,"Not Found")</f>
        <v>Microwave</v>
      </c>
      <c r="P130" t="str">
        <f>_xlfn.XLOOKUP(C130,[2]customers!$A$2:$A$81,[2]customers!$E$2:$E$81,"Not Found")</f>
        <v>Corporate</v>
      </c>
      <c r="Q130" t="str">
        <f t="shared" si="5"/>
        <v>June</v>
      </c>
    </row>
    <row r="131" spans="1:17" x14ac:dyDescent="0.3">
      <c r="A131" s="1" t="s">
        <v>218</v>
      </c>
      <c r="B131" s="2">
        <v>45705</v>
      </c>
      <c r="C131" s="1" t="s">
        <v>92</v>
      </c>
      <c r="D131" s="1" t="s">
        <v>79</v>
      </c>
      <c r="E131" s="1" t="s">
        <v>50</v>
      </c>
      <c r="F131" s="1">
        <v>1</v>
      </c>
      <c r="G131" s="1">
        <v>0</v>
      </c>
      <c r="H131" s="1" t="s">
        <v>22</v>
      </c>
      <c r="I131" s="1">
        <v>8</v>
      </c>
      <c r="J131">
        <f>_xlfn.XLOOKUP(D131,[1]products!$A$2:$A$11,[1]products!$D$2:$D$11,"Not Found")</f>
        <v>70</v>
      </c>
      <c r="K131">
        <f t="shared" ref="K131:K194" si="6">F131*J131*(1-G131 )</f>
        <v>70</v>
      </c>
      <c r="L131">
        <f>_xlfn.XLOOKUP(D131,[1]products!$A$2:$A$11,[1]products!$E$2:$E$11,"Not Found")</f>
        <v>22.4</v>
      </c>
      <c r="M131">
        <f t="shared" ref="M131:M194" si="7">K131-(F131*L131)-I131</f>
        <v>39.6</v>
      </c>
      <c r="N131" t="str">
        <f>_xlfn.XLOOKUP(C131,[2]customers!$A$2:$A$81,[2]customers!$C$2:$C$81,"Not Found")</f>
        <v>South</v>
      </c>
      <c r="O131" t="str">
        <f>_xlfn.XLOOKUP(D131,[1]products!$A$2:$A$11,[1]products!$C$2:$C$11,"Not Found")</f>
        <v>Blender</v>
      </c>
      <c r="P131" t="str">
        <f>_xlfn.XLOOKUP(C131,[2]customers!$A$2:$A$81,[2]customers!$E$2:$E$81,"Not Found")</f>
        <v>Corporate</v>
      </c>
      <c r="Q131" t="str">
        <f t="shared" ref="Q131:Q194" si="8">TEXT(B131,"mmmm")</f>
        <v>February</v>
      </c>
    </row>
    <row r="132" spans="1:17" x14ac:dyDescent="0.3">
      <c r="A132" s="1" t="s">
        <v>219</v>
      </c>
      <c r="B132" s="2">
        <v>45945</v>
      </c>
      <c r="C132" s="1" t="s">
        <v>20</v>
      </c>
      <c r="D132" s="1" t="s">
        <v>74</v>
      </c>
      <c r="E132" s="1" t="s">
        <v>53</v>
      </c>
      <c r="F132" s="1">
        <v>5</v>
      </c>
      <c r="G132" s="1">
        <v>0</v>
      </c>
      <c r="H132" s="1" t="s">
        <v>13</v>
      </c>
      <c r="I132" s="1">
        <v>12</v>
      </c>
      <c r="J132">
        <f>_xlfn.XLOOKUP(D132,[1]products!$A$2:$A$11,[1]products!$D$2:$D$11,"Not Found")</f>
        <v>90</v>
      </c>
      <c r="K132">
        <f t="shared" si="6"/>
        <v>450</v>
      </c>
      <c r="L132">
        <f>_xlfn.XLOOKUP(D132,[1]products!$A$2:$A$11,[1]products!$E$2:$E$11,"Not Found")</f>
        <v>25.2</v>
      </c>
      <c r="M132">
        <f t="shared" si="7"/>
        <v>312</v>
      </c>
      <c r="N132" t="str">
        <f>_xlfn.XLOOKUP(C132,[2]customers!$A$2:$A$81,[2]customers!$C$2:$C$81,"Not Found")</f>
        <v>East</v>
      </c>
      <c r="O132" t="str">
        <f>_xlfn.XLOOKUP(D132,[1]products!$A$2:$A$11,[1]products!$C$2:$C$11,"Not Found")</f>
        <v>Headphones</v>
      </c>
      <c r="P132" t="str">
        <f>_xlfn.XLOOKUP(C132,[2]customers!$A$2:$A$81,[2]customers!$E$2:$E$81,"Not Found")</f>
        <v>Home Office</v>
      </c>
      <c r="Q132" t="str">
        <f t="shared" si="8"/>
        <v>October</v>
      </c>
    </row>
    <row r="133" spans="1:17" x14ac:dyDescent="0.3">
      <c r="A133" s="1" t="s">
        <v>220</v>
      </c>
      <c r="B133" s="2">
        <v>45684</v>
      </c>
      <c r="C133" s="1" t="s">
        <v>64</v>
      </c>
      <c r="D133" s="1" t="s">
        <v>43</v>
      </c>
      <c r="E133" s="1" t="s">
        <v>12</v>
      </c>
      <c r="F133" s="1">
        <v>3</v>
      </c>
      <c r="G133" s="1">
        <v>0.1</v>
      </c>
      <c r="H133" s="1" t="s">
        <v>22</v>
      </c>
      <c r="I133" s="1">
        <v>18</v>
      </c>
      <c r="J133">
        <f>_xlfn.XLOOKUP(D133,[1]products!$A$2:$A$11,[1]products!$D$2:$D$11,"Not Found")</f>
        <v>160</v>
      </c>
      <c r="K133">
        <f t="shared" si="6"/>
        <v>432</v>
      </c>
      <c r="L133">
        <f>_xlfn.XLOOKUP(D133,[1]products!$A$2:$A$11,[1]products!$E$2:$E$11,"Not Found")</f>
        <v>38.4</v>
      </c>
      <c r="M133">
        <f t="shared" si="7"/>
        <v>298.8</v>
      </c>
      <c r="N133" t="str">
        <f>_xlfn.XLOOKUP(C133,[2]customers!$A$2:$A$81,[2]customers!$C$2:$C$81,"Not Found")</f>
        <v>West</v>
      </c>
      <c r="O133" t="str">
        <f>_xlfn.XLOOKUP(D133,[1]products!$A$2:$A$11,[1]products!$C$2:$C$11,"Not Found")</f>
        <v>Microwave</v>
      </c>
      <c r="P133" t="str">
        <f>_xlfn.XLOOKUP(C133,[2]customers!$A$2:$A$81,[2]customers!$E$2:$E$81,"Not Found")</f>
        <v>Corporate</v>
      </c>
      <c r="Q133" t="str">
        <f t="shared" si="8"/>
        <v>January</v>
      </c>
    </row>
    <row r="134" spans="1:17" x14ac:dyDescent="0.3">
      <c r="A134" s="1" t="s">
        <v>221</v>
      </c>
      <c r="B134" s="2">
        <v>45737</v>
      </c>
      <c r="C134" s="1" t="s">
        <v>222</v>
      </c>
      <c r="D134" s="1" t="s">
        <v>38</v>
      </c>
      <c r="E134" s="1" t="s">
        <v>50</v>
      </c>
      <c r="F134" s="1">
        <v>1</v>
      </c>
      <c r="G134" s="1">
        <v>0.15</v>
      </c>
      <c r="H134" s="1" t="s">
        <v>13</v>
      </c>
      <c r="I134" s="1">
        <v>10</v>
      </c>
      <c r="J134">
        <f>_xlfn.XLOOKUP(D134,[1]products!$A$2:$A$11,[1]products!$D$2:$D$11,"Not Found")</f>
        <v>210</v>
      </c>
      <c r="K134">
        <f t="shared" si="6"/>
        <v>178.5</v>
      </c>
      <c r="L134">
        <f>_xlfn.XLOOKUP(D134,[1]products!$A$2:$A$11,[1]products!$E$2:$E$11,"Not Found")</f>
        <v>52.5</v>
      </c>
      <c r="M134">
        <f t="shared" si="7"/>
        <v>116</v>
      </c>
      <c r="N134" t="str">
        <f>_xlfn.XLOOKUP(C134,[2]customers!$A$2:$A$81,[2]customers!$C$2:$C$81,"Not Found")</f>
        <v>South</v>
      </c>
      <c r="O134" t="str">
        <f>_xlfn.XLOOKUP(D134,[1]products!$A$2:$A$11,[1]products!$C$2:$C$11,"Not Found")</f>
        <v>Bookshelf</v>
      </c>
      <c r="P134" t="str">
        <f>_xlfn.XLOOKUP(C134,[2]customers!$A$2:$A$81,[2]customers!$E$2:$E$81,"Not Found")</f>
        <v>Corporate</v>
      </c>
      <c r="Q134" t="str">
        <f t="shared" si="8"/>
        <v>March</v>
      </c>
    </row>
    <row r="135" spans="1:17" x14ac:dyDescent="0.3">
      <c r="A135" s="1" t="s">
        <v>223</v>
      </c>
      <c r="B135" s="2">
        <v>45800</v>
      </c>
      <c r="C135" s="1" t="s">
        <v>113</v>
      </c>
      <c r="D135" s="1" t="s">
        <v>38</v>
      </c>
      <c r="E135" s="1" t="s">
        <v>53</v>
      </c>
      <c r="F135" s="1">
        <v>5</v>
      </c>
      <c r="G135" s="1">
        <v>0.05</v>
      </c>
      <c r="H135" s="1" t="s">
        <v>13</v>
      </c>
      <c r="I135" s="1">
        <v>10</v>
      </c>
      <c r="J135">
        <f>_xlfn.XLOOKUP(D135,[1]products!$A$2:$A$11,[1]products!$D$2:$D$11,"Not Found")</f>
        <v>210</v>
      </c>
      <c r="K135">
        <f t="shared" si="6"/>
        <v>997.5</v>
      </c>
      <c r="L135">
        <f>_xlfn.XLOOKUP(D135,[1]products!$A$2:$A$11,[1]products!$E$2:$E$11,"Not Found")</f>
        <v>52.5</v>
      </c>
      <c r="M135">
        <f t="shared" si="7"/>
        <v>725</v>
      </c>
      <c r="N135" t="str">
        <f>_xlfn.XLOOKUP(C135,[2]customers!$A$2:$A$81,[2]customers!$C$2:$C$81,"Not Found")</f>
        <v>South</v>
      </c>
      <c r="O135" t="str">
        <f>_xlfn.XLOOKUP(D135,[1]products!$A$2:$A$11,[1]products!$C$2:$C$11,"Not Found")</f>
        <v>Bookshelf</v>
      </c>
      <c r="P135" t="str">
        <f>_xlfn.XLOOKUP(C135,[2]customers!$A$2:$A$81,[2]customers!$E$2:$E$81,"Not Found")</f>
        <v>Consumer</v>
      </c>
      <c r="Q135" t="str">
        <f t="shared" si="8"/>
        <v>May</v>
      </c>
    </row>
    <row r="136" spans="1:17" x14ac:dyDescent="0.3">
      <c r="A136" s="1" t="s">
        <v>224</v>
      </c>
      <c r="B136" s="2">
        <v>45943</v>
      </c>
      <c r="C136" s="1" t="s">
        <v>32</v>
      </c>
      <c r="D136" s="1" t="s">
        <v>35</v>
      </c>
      <c r="E136" s="1" t="s">
        <v>16</v>
      </c>
      <c r="F136" s="1">
        <v>5</v>
      </c>
      <c r="G136" s="1">
        <v>0.15</v>
      </c>
      <c r="H136" s="1" t="s">
        <v>13</v>
      </c>
      <c r="I136" s="1">
        <v>18</v>
      </c>
      <c r="J136">
        <f>_xlfn.XLOOKUP(D136,[1]products!$A$2:$A$11,[1]products!$D$2:$D$11,"Not Found")</f>
        <v>130</v>
      </c>
      <c r="K136">
        <f t="shared" si="6"/>
        <v>552.5</v>
      </c>
      <c r="L136">
        <f>_xlfn.XLOOKUP(D136,[1]products!$A$2:$A$11,[1]products!$E$2:$E$11,"Not Found")</f>
        <v>33.799999999999997</v>
      </c>
      <c r="M136">
        <f t="shared" si="7"/>
        <v>365.5</v>
      </c>
      <c r="N136" t="str">
        <f>_xlfn.XLOOKUP(C136,[2]customers!$A$2:$A$81,[2]customers!$C$2:$C$81,"Not Found")</f>
        <v>West</v>
      </c>
      <c r="O136" t="str">
        <f>_xlfn.XLOOKUP(D136,[1]products!$A$2:$A$11,[1]products!$C$2:$C$11,"Not Found")</f>
        <v>Air Fryer</v>
      </c>
      <c r="P136" t="str">
        <f>_xlfn.XLOOKUP(C136,[2]customers!$A$2:$A$81,[2]customers!$E$2:$E$81,"Not Found")</f>
        <v>Consumer</v>
      </c>
      <c r="Q136" t="str">
        <f t="shared" si="8"/>
        <v>October</v>
      </c>
    </row>
    <row r="137" spans="1:17" x14ac:dyDescent="0.3">
      <c r="A137" s="1" t="s">
        <v>225</v>
      </c>
      <c r="B137" s="2">
        <v>45816</v>
      </c>
      <c r="C137" s="1" t="s">
        <v>226</v>
      </c>
      <c r="D137" s="1" t="s">
        <v>25</v>
      </c>
      <c r="E137" s="1" t="s">
        <v>12</v>
      </c>
      <c r="F137" s="1">
        <v>2</v>
      </c>
      <c r="G137" s="1">
        <v>0.05</v>
      </c>
      <c r="H137" s="1" t="s">
        <v>13</v>
      </c>
      <c r="I137" s="1">
        <v>12</v>
      </c>
      <c r="J137">
        <f>_xlfn.XLOOKUP(D137,[1]products!$A$2:$A$11,[1]products!$D$2:$D$11,"Not Found")</f>
        <v>850</v>
      </c>
      <c r="K137">
        <f t="shared" si="6"/>
        <v>1615</v>
      </c>
      <c r="L137">
        <f>_xlfn.XLOOKUP(D137,[1]products!$A$2:$A$11,[1]products!$E$2:$E$11,"Not Found")</f>
        <v>187</v>
      </c>
      <c r="M137">
        <f t="shared" si="7"/>
        <v>1229</v>
      </c>
      <c r="N137" t="str">
        <f>_xlfn.XLOOKUP(C137,[2]customers!$A$2:$A$81,[2]customers!$C$2:$C$81,"Not Found")</f>
        <v>West</v>
      </c>
      <c r="O137" t="str">
        <f>_xlfn.XLOOKUP(D137,[1]products!$A$2:$A$11,[1]products!$C$2:$C$11,"Not Found")</f>
        <v>Laptop</v>
      </c>
      <c r="P137" t="str">
        <f>_xlfn.XLOOKUP(C137,[2]customers!$A$2:$A$81,[2]customers!$E$2:$E$81,"Not Found")</f>
        <v>Home Office</v>
      </c>
      <c r="Q137" t="str">
        <f t="shared" si="8"/>
        <v>June</v>
      </c>
    </row>
    <row r="138" spans="1:17" x14ac:dyDescent="0.3">
      <c r="A138" s="1" t="s">
        <v>227</v>
      </c>
      <c r="B138" s="2">
        <v>45693</v>
      </c>
      <c r="C138" s="1" t="s">
        <v>228</v>
      </c>
      <c r="D138" s="1" t="s">
        <v>74</v>
      </c>
      <c r="E138" s="1" t="s">
        <v>26</v>
      </c>
      <c r="F138" s="1">
        <v>2</v>
      </c>
      <c r="G138" s="1">
        <v>0.15</v>
      </c>
      <c r="H138" s="1" t="s">
        <v>13</v>
      </c>
      <c r="I138" s="1">
        <v>20</v>
      </c>
      <c r="J138">
        <f>_xlfn.XLOOKUP(D138,[1]products!$A$2:$A$11,[1]products!$D$2:$D$11,"Not Found")</f>
        <v>90</v>
      </c>
      <c r="K138">
        <f t="shared" si="6"/>
        <v>153</v>
      </c>
      <c r="L138">
        <f>_xlfn.XLOOKUP(D138,[1]products!$A$2:$A$11,[1]products!$E$2:$E$11,"Not Found")</f>
        <v>25.2</v>
      </c>
      <c r="M138">
        <f t="shared" si="7"/>
        <v>82.6</v>
      </c>
      <c r="N138" t="str">
        <f>_xlfn.XLOOKUP(C138,[2]customers!$A$2:$A$81,[2]customers!$C$2:$C$81,"Not Found")</f>
        <v>West</v>
      </c>
      <c r="O138" t="str">
        <f>_xlfn.XLOOKUP(D138,[1]products!$A$2:$A$11,[1]products!$C$2:$C$11,"Not Found")</f>
        <v>Headphones</v>
      </c>
      <c r="P138" t="str">
        <f>_xlfn.XLOOKUP(C138,[2]customers!$A$2:$A$81,[2]customers!$E$2:$E$81,"Not Found")</f>
        <v>Home Office</v>
      </c>
      <c r="Q138" t="str">
        <f t="shared" si="8"/>
        <v>February</v>
      </c>
    </row>
    <row r="139" spans="1:17" x14ac:dyDescent="0.3">
      <c r="A139" s="1" t="s">
        <v>229</v>
      </c>
      <c r="B139" s="2">
        <v>45890</v>
      </c>
      <c r="C139" s="1" t="s">
        <v>55</v>
      </c>
      <c r="D139" s="1" t="s">
        <v>15</v>
      </c>
      <c r="E139" s="1" t="s">
        <v>12</v>
      </c>
      <c r="F139" s="1">
        <v>5</v>
      </c>
      <c r="G139" s="1">
        <v>0</v>
      </c>
      <c r="H139" s="1" t="s">
        <v>13</v>
      </c>
      <c r="I139" s="1">
        <v>10</v>
      </c>
      <c r="J139">
        <f>_xlfn.XLOOKUP(D139,[1]products!$A$2:$A$11,[1]products!$D$2:$D$11,"Not Found")</f>
        <v>600</v>
      </c>
      <c r="K139">
        <f t="shared" si="6"/>
        <v>3000</v>
      </c>
      <c r="L139">
        <f>_xlfn.XLOOKUP(D139,[1]products!$A$2:$A$11,[1]products!$E$2:$E$11,"Not Found")</f>
        <v>120</v>
      </c>
      <c r="M139">
        <f t="shared" si="7"/>
        <v>2390</v>
      </c>
      <c r="N139" t="str">
        <f>_xlfn.XLOOKUP(C139,[2]customers!$A$2:$A$81,[2]customers!$C$2:$C$81,"Not Found")</f>
        <v>West</v>
      </c>
      <c r="O139" t="str">
        <f>_xlfn.XLOOKUP(D139,[1]products!$A$2:$A$11,[1]products!$C$2:$C$11,"Not Found")</f>
        <v>Smartphone</v>
      </c>
      <c r="P139" t="str">
        <f>_xlfn.XLOOKUP(C139,[2]customers!$A$2:$A$81,[2]customers!$E$2:$E$81,"Not Found")</f>
        <v>Consumer</v>
      </c>
      <c r="Q139" t="str">
        <f t="shared" si="8"/>
        <v>August</v>
      </c>
    </row>
    <row r="140" spans="1:17" x14ac:dyDescent="0.3">
      <c r="A140" s="1" t="s">
        <v>230</v>
      </c>
      <c r="B140" s="2">
        <v>45684</v>
      </c>
      <c r="C140" s="1" t="s">
        <v>20</v>
      </c>
      <c r="D140" s="1" t="s">
        <v>21</v>
      </c>
      <c r="E140" s="1" t="s">
        <v>26</v>
      </c>
      <c r="F140" s="1">
        <v>3</v>
      </c>
      <c r="G140" s="1">
        <v>0.15</v>
      </c>
      <c r="H140" s="1" t="s">
        <v>13</v>
      </c>
      <c r="I140" s="1">
        <v>10</v>
      </c>
      <c r="J140">
        <f>_xlfn.XLOOKUP(D140,[1]products!$A$2:$A$11,[1]products!$D$2:$D$11,"Not Found")</f>
        <v>320</v>
      </c>
      <c r="K140">
        <f t="shared" si="6"/>
        <v>816</v>
      </c>
      <c r="L140">
        <f>_xlfn.XLOOKUP(D140,[1]products!$A$2:$A$11,[1]products!$E$2:$E$11,"Not Found")</f>
        <v>86.4</v>
      </c>
      <c r="M140">
        <f t="shared" si="7"/>
        <v>546.79999999999995</v>
      </c>
      <c r="N140" t="str">
        <f>_xlfn.XLOOKUP(C140,[2]customers!$A$2:$A$81,[2]customers!$C$2:$C$81,"Not Found")</f>
        <v>East</v>
      </c>
      <c r="O140" t="str">
        <f>_xlfn.XLOOKUP(D140,[1]products!$A$2:$A$11,[1]products!$C$2:$C$11,"Not Found")</f>
        <v>Desk</v>
      </c>
      <c r="P140" t="str">
        <f>_xlfn.XLOOKUP(C140,[2]customers!$A$2:$A$81,[2]customers!$E$2:$E$81,"Not Found")</f>
        <v>Home Office</v>
      </c>
      <c r="Q140" t="str">
        <f t="shared" si="8"/>
        <v>January</v>
      </c>
    </row>
    <row r="141" spans="1:17" x14ac:dyDescent="0.3">
      <c r="A141" s="1" t="s">
        <v>231</v>
      </c>
      <c r="B141" s="2">
        <v>45875</v>
      </c>
      <c r="C141" s="1" t="s">
        <v>185</v>
      </c>
      <c r="D141" s="1" t="s">
        <v>25</v>
      </c>
      <c r="E141" s="1" t="s">
        <v>50</v>
      </c>
      <c r="F141" s="1">
        <v>1</v>
      </c>
      <c r="G141" s="1">
        <v>0.05</v>
      </c>
      <c r="H141" s="1" t="s">
        <v>13</v>
      </c>
      <c r="I141" s="1">
        <v>18</v>
      </c>
      <c r="J141">
        <f>_xlfn.XLOOKUP(D141,[1]products!$A$2:$A$11,[1]products!$D$2:$D$11,"Not Found")</f>
        <v>850</v>
      </c>
      <c r="K141">
        <f t="shared" si="6"/>
        <v>807.5</v>
      </c>
      <c r="L141">
        <f>_xlfn.XLOOKUP(D141,[1]products!$A$2:$A$11,[1]products!$E$2:$E$11,"Not Found")</f>
        <v>187</v>
      </c>
      <c r="M141">
        <f t="shared" si="7"/>
        <v>602.5</v>
      </c>
      <c r="N141" t="str">
        <f>_xlfn.XLOOKUP(C141,[2]customers!$A$2:$A$81,[2]customers!$C$2:$C$81,"Not Found")</f>
        <v>East</v>
      </c>
      <c r="O141" t="str">
        <f>_xlfn.XLOOKUP(D141,[1]products!$A$2:$A$11,[1]products!$C$2:$C$11,"Not Found")</f>
        <v>Laptop</v>
      </c>
      <c r="P141" t="str">
        <f>_xlfn.XLOOKUP(C141,[2]customers!$A$2:$A$81,[2]customers!$E$2:$E$81,"Not Found")</f>
        <v>Consumer</v>
      </c>
      <c r="Q141" t="str">
        <f t="shared" si="8"/>
        <v>August</v>
      </c>
    </row>
    <row r="142" spans="1:17" x14ac:dyDescent="0.3">
      <c r="A142" s="1" t="s">
        <v>232</v>
      </c>
      <c r="B142" s="2">
        <v>45716</v>
      </c>
      <c r="C142" s="1" t="s">
        <v>34</v>
      </c>
      <c r="D142" s="1" t="s">
        <v>43</v>
      </c>
      <c r="E142" s="1" t="s">
        <v>12</v>
      </c>
      <c r="F142" s="1">
        <v>3</v>
      </c>
      <c r="G142" s="1">
        <v>0</v>
      </c>
      <c r="H142" s="1" t="s">
        <v>13</v>
      </c>
      <c r="I142" s="1">
        <v>15</v>
      </c>
      <c r="J142">
        <f>_xlfn.XLOOKUP(D142,[1]products!$A$2:$A$11,[1]products!$D$2:$D$11,"Not Found")</f>
        <v>160</v>
      </c>
      <c r="K142">
        <f t="shared" si="6"/>
        <v>480</v>
      </c>
      <c r="L142">
        <f>_xlfn.XLOOKUP(D142,[1]products!$A$2:$A$11,[1]products!$E$2:$E$11,"Not Found")</f>
        <v>38.4</v>
      </c>
      <c r="M142">
        <f t="shared" si="7"/>
        <v>349.8</v>
      </c>
      <c r="N142" t="str">
        <f>_xlfn.XLOOKUP(C142,[2]customers!$A$2:$A$81,[2]customers!$C$2:$C$81,"Not Found")</f>
        <v>North</v>
      </c>
      <c r="O142" t="str">
        <f>_xlfn.XLOOKUP(D142,[1]products!$A$2:$A$11,[1]products!$C$2:$C$11,"Not Found")</f>
        <v>Microwave</v>
      </c>
      <c r="P142" t="str">
        <f>_xlfn.XLOOKUP(C142,[2]customers!$A$2:$A$81,[2]customers!$E$2:$E$81,"Not Found")</f>
        <v>Corporate</v>
      </c>
      <c r="Q142" t="str">
        <f t="shared" si="8"/>
        <v>February</v>
      </c>
    </row>
    <row r="143" spans="1:17" x14ac:dyDescent="0.3">
      <c r="A143" s="1" t="s">
        <v>233</v>
      </c>
      <c r="B143" s="2">
        <v>45815</v>
      </c>
      <c r="C143" s="1" t="s">
        <v>28</v>
      </c>
      <c r="D143" s="1" t="s">
        <v>21</v>
      </c>
      <c r="E143" s="1" t="s">
        <v>16</v>
      </c>
      <c r="F143" s="1">
        <v>5</v>
      </c>
      <c r="G143" s="1">
        <v>0.1</v>
      </c>
      <c r="H143" s="1" t="s">
        <v>13</v>
      </c>
      <c r="I143" s="1">
        <v>10</v>
      </c>
      <c r="J143">
        <f>_xlfn.XLOOKUP(D143,[1]products!$A$2:$A$11,[1]products!$D$2:$D$11,"Not Found")</f>
        <v>320</v>
      </c>
      <c r="K143">
        <f t="shared" si="6"/>
        <v>1440</v>
      </c>
      <c r="L143">
        <f>_xlfn.XLOOKUP(D143,[1]products!$A$2:$A$11,[1]products!$E$2:$E$11,"Not Found")</f>
        <v>86.4</v>
      </c>
      <c r="M143">
        <f t="shared" si="7"/>
        <v>998</v>
      </c>
      <c r="N143" t="str">
        <f>_xlfn.XLOOKUP(C143,[2]customers!$A$2:$A$81,[2]customers!$C$2:$C$81,"Not Found")</f>
        <v>South</v>
      </c>
      <c r="O143" t="str">
        <f>_xlfn.XLOOKUP(D143,[1]products!$A$2:$A$11,[1]products!$C$2:$C$11,"Not Found")</f>
        <v>Desk</v>
      </c>
      <c r="P143" t="str">
        <f>_xlfn.XLOOKUP(C143,[2]customers!$A$2:$A$81,[2]customers!$E$2:$E$81,"Not Found")</f>
        <v>Consumer</v>
      </c>
      <c r="Q143" t="str">
        <f t="shared" si="8"/>
        <v>June</v>
      </c>
    </row>
    <row r="144" spans="1:17" x14ac:dyDescent="0.3">
      <c r="A144" s="1" t="s">
        <v>234</v>
      </c>
      <c r="B144" s="2">
        <v>45766</v>
      </c>
      <c r="C144" s="1" t="s">
        <v>178</v>
      </c>
      <c r="D144" s="1" t="s">
        <v>71</v>
      </c>
      <c r="E144" s="1" t="s">
        <v>26</v>
      </c>
      <c r="F144" s="1">
        <v>1</v>
      </c>
      <c r="G144" s="1">
        <v>0</v>
      </c>
      <c r="H144" s="1" t="s">
        <v>13</v>
      </c>
      <c r="I144" s="1">
        <v>12</v>
      </c>
      <c r="J144">
        <f>_xlfn.XLOOKUP(D144,[1]products!$A$2:$A$11,[1]products!$D$2:$D$11,"Not Found")</f>
        <v>240</v>
      </c>
      <c r="K144">
        <f t="shared" si="6"/>
        <v>240</v>
      </c>
      <c r="L144">
        <f>_xlfn.XLOOKUP(D144,[1]products!$A$2:$A$11,[1]products!$E$2:$E$11,"Not Found")</f>
        <v>55.2</v>
      </c>
      <c r="M144">
        <f t="shared" si="7"/>
        <v>172.8</v>
      </c>
      <c r="N144" t="str">
        <f>_xlfn.XLOOKUP(C144,[2]customers!$A$2:$A$81,[2]customers!$C$2:$C$81,"Not Found")</f>
        <v>East</v>
      </c>
      <c r="O144" t="str">
        <f>_xlfn.XLOOKUP(D144,[1]products!$A$2:$A$11,[1]products!$C$2:$C$11,"Not Found")</f>
        <v>Vacuum Cleaner</v>
      </c>
      <c r="P144" t="str">
        <f>_xlfn.XLOOKUP(C144,[2]customers!$A$2:$A$81,[2]customers!$E$2:$E$81,"Not Found")</f>
        <v>Home Office</v>
      </c>
      <c r="Q144" t="str">
        <f t="shared" si="8"/>
        <v>April</v>
      </c>
    </row>
    <row r="145" spans="1:17" x14ac:dyDescent="0.3">
      <c r="A145" s="1" t="s">
        <v>235</v>
      </c>
      <c r="B145" s="2">
        <v>45878</v>
      </c>
      <c r="C145" s="1" t="s">
        <v>66</v>
      </c>
      <c r="D145" s="1" t="s">
        <v>38</v>
      </c>
      <c r="E145" s="1" t="s">
        <v>26</v>
      </c>
      <c r="F145" s="1">
        <v>1</v>
      </c>
      <c r="G145" s="1">
        <v>0</v>
      </c>
      <c r="H145" s="1" t="s">
        <v>13</v>
      </c>
      <c r="I145" s="1">
        <v>10</v>
      </c>
      <c r="J145">
        <f>_xlfn.XLOOKUP(D145,[1]products!$A$2:$A$11,[1]products!$D$2:$D$11,"Not Found")</f>
        <v>210</v>
      </c>
      <c r="K145">
        <f t="shared" si="6"/>
        <v>210</v>
      </c>
      <c r="L145">
        <f>_xlfn.XLOOKUP(D145,[1]products!$A$2:$A$11,[1]products!$E$2:$E$11,"Not Found")</f>
        <v>52.5</v>
      </c>
      <c r="M145">
        <f t="shared" si="7"/>
        <v>147.5</v>
      </c>
      <c r="N145" t="str">
        <f>_xlfn.XLOOKUP(C145,[2]customers!$A$2:$A$81,[2]customers!$C$2:$C$81,"Not Found")</f>
        <v>South</v>
      </c>
      <c r="O145" t="str">
        <f>_xlfn.XLOOKUP(D145,[1]products!$A$2:$A$11,[1]products!$C$2:$C$11,"Not Found")</f>
        <v>Bookshelf</v>
      </c>
      <c r="P145" t="str">
        <f>_xlfn.XLOOKUP(C145,[2]customers!$A$2:$A$81,[2]customers!$E$2:$E$81,"Not Found")</f>
        <v>Consumer</v>
      </c>
      <c r="Q145" t="str">
        <f t="shared" si="8"/>
        <v>August</v>
      </c>
    </row>
    <row r="146" spans="1:17" x14ac:dyDescent="0.3">
      <c r="A146" s="1" t="s">
        <v>236</v>
      </c>
      <c r="B146" s="2">
        <v>46000</v>
      </c>
      <c r="C146" s="1" t="s">
        <v>104</v>
      </c>
      <c r="D146" s="1" t="s">
        <v>35</v>
      </c>
      <c r="E146" s="1" t="s">
        <v>12</v>
      </c>
      <c r="F146" s="1">
        <v>2</v>
      </c>
      <c r="G146" s="1">
        <v>0.15</v>
      </c>
      <c r="H146" s="1" t="s">
        <v>13</v>
      </c>
      <c r="I146" s="1">
        <v>8</v>
      </c>
      <c r="J146">
        <f>_xlfn.XLOOKUP(D146,[1]products!$A$2:$A$11,[1]products!$D$2:$D$11,"Not Found")</f>
        <v>130</v>
      </c>
      <c r="K146">
        <f t="shared" si="6"/>
        <v>221</v>
      </c>
      <c r="L146">
        <f>_xlfn.XLOOKUP(D146,[1]products!$A$2:$A$11,[1]products!$E$2:$E$11,"Not Found")</f>
        <v>33.799999999999997</v>
      </c>
      <c r="M146">
        <f t="shared" si="7"/>
        <v>145.4</v>
      </c>
      <c r="N146" t="str">
        <f>_xlfn.XLOOKUP(C146,[2]customers!$A$2:$A$81,[2]customers!$C$2:$C$81,"Not Found")</f>
        <v>East</v>
      </c>
      <c r="O146" t="str">
        <f>_xlfn.XLOOKUP(D146,[1]products!$A$2:$A$11,[1]products!$C$2:$C$11,"Not Found")</f>
        <v>Air Fryer</v>
      </c>
      <c r="P146" t="str">
        <f>_xlfn.XLOOKUP(C146,[2]customers!$A$2:$A$81,[2]customers!$E$2:$E$81,"Not Found")</f>
        <v>Home Office</v>
      </c>
      <c r="Q146" t="str">
        <f t="shared" si="8"/>
        <v>December</v>
      </c>
    </row>
    <row r="147" spans="1:17" x14ac:dyDescent="0.3">
      <c r="A147" s="1" t="s">
        <v>237</v>
      </c>
      <c r="B147" s="2">
        <v>45697</v>
      </c>
      <c r="C147" s="1" t="s">
        <v>178</v>
      </c>
      <c r="D147" s="1" t="s">
        <v>25</v>
      </c>
      <c r="E147" s="1" t="s">
        <v>12</v>
      </c>
      <c r="F147" s="1">
        <v>4</v>
      </c>
      <c r="G147" s="1">
        <v>0</v>
      </c>
      <c r="H147" s="1" t="s">
        <v>13</v>
      </c>
      <c r="I147" s="1">
        <v>18</v>
      </c>
      <c r="J147">
        <f>_xlfn.XLOOKUP(D147,[1]products!$A$2:$A$11,[1]products!$D$2:$D$11,"Not Found")</f>
        <v>850</v>
      </c>
      <c r="K147">
        <f t="shared" si="6"/>
        <v>3400</v>
      </c>
      <c r="L147">
        <f>_xlfn.XLOOKUP(D147,[1]products!$A$2:$A$11,[1]products!$E$2:$E$11,"Not Found")</f>
        <v>187</v>
      </c>
      <c r="M147">
        <f t="shared" si="7"/>
        <v>2634</v>
      </c>
      <c r="N147" t="str">
        <f>_xlfn.XLOOKUP(C147,[2]customers!$A$2:$A$81,[2]customers!$C$2:$C$81,"Not Found")</f>
        <v>East</v>
      </c>
      <c r="O147" t="str">
        <f>_xlfn.XLOOKUP(D147,[1]products!$A$2:$A$11,[1]products!$C$2:$C$11,"Not Found")</f>
        <v>Laptop</v>
      </c>
      <c r="P147" t="str">
        <f>_xlfn.XLOOKUP(C147,[2]customers!$A$2:$A$81,[2]customers!$E$2:$E$81,"Not Found")</f>
        <v>Home Office</v>
      </c>
      <c r="Q147" t="str">
        <f t="shared" si="8"/>
        <v>February</v>
      </c>
    </row>
    <row r="148" spans="1:17" x14ac:dyDescent="0.3">
      <c r="A148" s="1" t="s">
        <v>238</v>
      </c>
      <c r="B148" s="2">
        <v>45865</v>
      </c>
      <c r="C148" s="1" t="s">
        <v>32</v>
      </c>
      <c r="D148" s="1" t="s">
        <v>71</v>
      </c>
      <c r="E148" s="1" t="s">
        <v>16</v>
      </c>
      <c r="F148" s="1">
        <v>4</v>
      </c>
      <c r="G148" s="1">
        <v>0.1</v>
      </c>
      <c r="H148" s="1" t="s">
        <v>13</v>
      </c>
      <c r="I148" s="1">
        <v>12</v>
      </c>
      <c r="J148">
        <f>_xlfn.XLOOKUP(D148,[1]products!$A$2:$A$11,[1]products!$D$2:$D$11,"Not Found")</f>
        <v>240</v>
      </c>
      <c r="K148">
        <f t="shared" si="6"/>
        <v>864</v>
      </c>
      <c r="L148">
        <f>_xlfn.XLOOKUP(D148,[1]products!$A$2:$A$11,[1]products!$E$2:$E$11,"Not Found")</f>
        <v>55.2</v>
      </c>
      <c r="M148">
        <f t="shared" si="7"/>
        <v>631.20000000000005</v>
      </c>
      <c r="N148" t="str">
        <f>_xlfn.XLOOKUP(C148,[2]customers!$A$2:$A$81,[2]customers!$C$2:$C$81,"Not Found")</f>
        <v>West</v>
      </c>
      <c r="O148" t="str">
        <f>_xlfn.XLOOKUP(D148,[1]products!$A$2:$A$11,[1]products!$C$2:$C$11,"Not Found")</f>
        <v>Vacuum Cleaner</v>
      </c>
      <c r="P148" t="str">
        <f>_xlfn.XLOOKUP(C148,[2]customers!$A$2:$A$81,[2]customers!$E$2:$E$81,"Not Found")</f>
        <v>Consumer</v>
      </c>
      <c r="Q148" t="str">
        <f t="shared" si="8"/>
        <v>July</v>
      </c>
    </row>
    <row r="149" spans="1:17" x14ac:dyDescent="0.3">
      <c r="A149" s="1" t="s">
        <v>239</v>
      </c>
      <c r="B149" s="2">
        <v>45712</v>
      </c>
      <c r="C149" s="1" t="s">
        <v>101</v>
      </c>
      <c r="D149" s="1" t="s">
        <v>71</v>
      </c>
      <c r="E149" s="1" t="s">
        <v>26</v>
      </c>
      <c r="F149" s="1">
        <v>4</v>
      </c>
      <c r="G149" s="1">
        <v>0.05</v>
      </c>
      <c r="H149" s="1" t="s">
        <v>13</v>
      </c>
      <c r="I149" s="1">
        <v>15</v>
      </c>
      <c r="J149">
        <f>_xlfn.XLOOKUP(D149,[1]products!$A$2:$A$11,[1]products!$D$2:$D$11,"Not Found")</f>
        <v>240</v>
      </c>
      <c r="K149">
        <f t="shared" si="6"/>
        <v>912</v>
      </c>
      <c r="L149">
        <f>_xlfn.XLOOKUP(D149,[1]products!$A$2:$A$11,[1]products!$E$2:$E$11,"Not Found")</f>
        <v>55.2</v>
      </c>
      <c r="M149">
        <f t="shared" si="7"/>
        <v>676.2</v>
      </c>
      <c r="N149" t="str">
        <f>_xlfn.XLOOKUP(C149,[2]customers!$A$2:$A$81,[2]customers!$C$2:$C$81,"Not Found")</f>
        <v>South</v>
      </c>
      <c r="O149" t="str">
        <f>_xlfn.XLOOKUP(D149,[1]products!$A$2:$A$11,[1]products!$C$2:$C$11,"Not Found")</f>
        <v>Vacuum Cleaner</v>
      </c>
      <c r="P149" t="str">
        <f>_xlfn.XLOOKUP(C149,[2]customers!$A$2:$A$81,[2]customers!$E$2:$E$81,"Not Found")</f>
        <v>Corporate</v>
      </c>
      <c r="Q149" t="str">
        <f t="shared" si="8"/>
        <v>February</v>
      </c>
    </row>
    <row r="150" spans="1:17" x14ac:dyDescent="0.3">
      <c r="A150" s="1" t="s">
        <v>240</v>
      </c>
      <c r="B150" s="2">
        <v>45816</v>
      </c>
      <c r="C150" s="1" t="s">
        <v>133</v>
      </c>
      <c r="D150" s="1" t="s">
        <v>43</v>
      </c>
      <c r="E150" s="1" t="s">
        <v>12</v>
      </c>
      <c r="F150" s="1">
        <v>5</v>
      </c>
      <c r="G150" s="1">
        <v>0</v>
      </c>
      <c r="H150" s="1" t="s">
        <v>13</v>
      </c>
      <c r="I150" s="1">
        <v>10</v>
      </c>
      <c r="J150">
        <f>_xlfn.XLOOKUP(D150,[1]products!$A$2:$A$11,[1]products!$D$2:$D$11,"Not Found")</f>
        <v>160</v>
      </c>
      <c r="K150">
        <f t="shared" si="6"/>
        <v>800</v>
      </c>
      <c r="L150">
        <f>_xlfn.XLOOKUP(D150,[1]products!$A$2:$A$11,[1]products!$E$2:$E$11,"Not Found")</f>
        <v>38.4</v>
      </c>
      <c r="M150">
        <f t="shared" si="7"/>
        <v>598</v>
      </c>
      <c r="N150" t="str">
        <f>_xlfn.XLOOKUP(C150,[2]customers!$A$2:$A$81,[2]customers!$C$2:$C$81,"Not Found")</f>
        <v>South</v>
      </c>
      <c r="O150" t="str">
        <f>_xlfn.XLOOKUP(D150,[1]products!$A$2:$A$11,[1]products!$C$2:$C$11,"Not Found")</f>
        <v>Microwave</v>
      </c>
      <c r="P150" t="str">
        <f>_xlfn.XLOOKUP(C150,[2]customers!$A$2:$A$81,[2]customers!$E$2:$E$81,"Not Found")</f>
        <v>Home Office</v>
      </c>
      <c r="Q150" t="str">
        <f t="shared" si="8"/>
        <v>June</v>
      </c>
    </row>
    <row r="151" spans="1:17" x14ac:dyDescent="0.3">
      <c r="A151" s="1" t="s">
        <v>241</v>
      </c>
      <c r="B151" s="2">
        <v>45929</v>
      </c>
      <c r="C151" s="1" t="s">
        <v>94</v>
      </c>
      <c r="D151" s="1" t="s">
        <v>74</v>
      </c>
      <c r="E151" s="1" t="s">
        <v>53</v>
      </c>
      <c r="F151" s="1">
        <v>1</v>
      </c>
      <c r="G151" s="1">
        <v>0.15</v>
      </c>
      <c r="H151" s="1" t="s">
        <v>13</v>
      </c>
      <c r="I151" s="1">
        <v>10</v>
      </c>
      <c r="J151">
        <f>_xlfn.XLOOKUP(D151,[1]products!$A$2:$A$11,[1]products!$D$2:$D$11,"Not Found")</f>
        <v>90</v>
      </c>
      <c r="K151">
        <f t="shared" si="6"/>
        <v>76.5</v>
      </c>
      <c r="L151">
        <f>_xlfn.XLOOKUP(D151,[1]products!$A$2:$A$11,[1]products!$E$2:$E$11,"Not Found")</f>
        <v>25.2</v>
      </c>
      <c r="M151">
        <f t="shared" si="7"/>
        <v>41.3</v>
      </c>
      <c r="N151" t="str">
        <f>_xlfn.XLOOKUP(C151,[2]customers!$A$2:$A$81,[2]customers!$C$2:$C$81,"Not Found")</f>
        <v>South</v>
      </c>
      <c r="O151" t="str">
        <f>_xlfn.XLOOKUP(D151,[1]products!$A$2:$A$11,[1]products!$C$2:$C$11,"Not Found")</f>
        <v>Headphones</v>
      </c>
      <c r="P151" t="str">
        <f>_xlfn.XLOOKUP(C151,[2]customers!$A$2:$A$81,[2]customers!$E$2:$E$81,"Not Found")</f>
        <v>Consumer</v>
      </c>
      <c r="Q151" t="str">
        <f t="shared" si="8"/>
        <v>September</v>
      </c>
    </row>
    <row r="152" spans="1:17" x14ac:dyDescent="0.3">
      <c r="A152" s="1" t="s">
        <v>242</v>
      </c>
      <c r="B152" s="2">
        <v>45789</v>
      </c>
      <c r="C152" s="1" t="s">
        <v>49</v>
      </c>
      <c r="D152" s="1" t="s">
        <v>38</v>
      </c>
      <c r="E152" s="1" t="s">
        <v>26</v>
      </c>
      <c r="F152" s="1">
        <v>2</v>
      </c>
      <c r="G152" s="1">
        <v>0</v>
      </c>
      <c r="H152" s="1" t="s">
        <v>13</v>
      </c>
      <c r="I152" s="1">
        <v>10</v>
      </c>
      <c r="J152">
        <f>_xlfn.XLOOKUP(D152,[1]products!$A$2:$A$11,[1]products!$D$2:$D$11,"Not Found")</f>
        <v>210</v>
      </c>
      <c r="K152">
        <f t="shared" si="6"/>
        <v>420</v>
      </c>
      <c r="L152">
        <f>_xlfn.XLOOKUP(D152,[1]products!$A$2:$A$11,[1]products!$E$2:$E$11,"Not Found")</f>
        <v>52.5</v>
      </c>
      <c r="M152">
        <f t="shared" si="7"/>
        <v>305</v>
      </c>
      <c r="N152" t="str">
        <f>_xlfn.XLOOKUP(C152,[2]customers!$A$2:$A$81,[2]customers!$C$2:$C$81,"Not Found")</f>
        <v>West</v>
      </c>
      <c r="O152" t="str">
        <f>_xlfn.XLOOKUP(D152,[1]products!$A$2:$A$11,[1]products!$C$2:$C$11,"Not Found")</f>
        <v>Bookshelf</v>
      </c>
      <c r="P152" t="str">
        <f>_xlfn.XLOOKUP(C152,[2]customers!$A$2:$A$81,[2]customers!$E$2:$E$81,"Not Found")</f>
        <v>Consumer</v>
      </c>
      <c r="Q152" t="str">
        <f t="shared" si="8"/>
        <v>May</v>
      </c>
    </row>
    <row r="153" spans="1:17" x14ac:dyDescent="0.3">
      <c r="A153" s="1" t="s">
        <v>243</v>
      </c>
      <c r="B153" s="2">
        <v>45979</v>
      </c>
      <c r="C153" s="1" t="s">
        <v>141</v>
      </c>
      <c r="D153" s="1" t="s">
        <v>74</v>
      </c>
      <c r="E153" s="1" t="s">
        <v>50</v>
      </c>
      <c r="F153" s="1">
        <v>1</v>
      </c>
      <c r="G153" s="1">
        <v>0</v>
      </c>
      <c r="H153" s="1" t="s">
        <v>62</v>
      </c>
      <c r="I153" s="1">
        <v>15</v>
      </c>
      <c r="J153">
        <f>_xlfn.XLOOKUP(D153,[1]products!$A$2:$A$11,[1]products!$D$2:$D$11,"Not Found")</f>
        <v>90</v>
      </c>
      <c r="K153">
        <f t="shared" si="6"/>
        <v>90</v>
      </c>
      <c r="L153">
        <f>_xlfn.XLOOKUP(D153,[1]products!$A$2:$A$11,[1]products!$E$2:$E$11,"Not Found")</f>
        <v>25.2</v>
      </c>
      <c r="M153">
        <f t="shared" si="7"/>
        <v>49.8</v>
      </c>
      <c r="N153" t="str">
        <f>_xlfn.XLOOKUP(C153,[2]customers!$A$2:$A$81,[2]customers!$C$2:$C$81,"Not Found")</f>
        <v>South</v>
      </c>
      <c r="O153" t="str">
        <f>_xlfn.XLOOKUP(D153,[1]products!$A$2:$A$11,[1]products!$C$2:$C$11,"Not Found")</f>
        <v>Headphones</v>
      </c>
      <c r="P153" t="str">
        <f>_xlfn.XLOOKUP(C153,[2]customers!$A$2:$A$81,[2]customers!$E$2:$E$81,"Not Found")</f>
        <v>Home Office</v>
      </c>
      <c r="Q153" t="str">
        <f t="shared" si="8"/>
        <v>November</v>
      </c>
    </row>
    <row r="154" spans="1:17" x14ac:dyDescent="0.3">
      <c r="A154" s="1" t="s">
        <v>244</v>
      </c>
      <c r="B154" s="2">
        <v>45977</v>
      </c>
      <c r="C154" s="1" t="s">
        <v>68</v>
      </c>
      <c r="D154" s="1" t="s">
        <v>71</v>
      </c>
      <c r="E154" s="1" t="s">
        <v>12</v>
      </c>
      <c r="F154" s="1">
        <v>4</v>
      </c>
      <c r="G154" s="1">
        <v>0.15</v>
      </c>
      <c r="H154" s="1" t="s">
        <v>13</v>
      </c>
      <c r="I154" s="1">
        <v>20</v>
      </c>
      <c r="J154">
        <f>_xlfn.XLOOKUP(D154,[1]products!$A$2:$A$11,[1]products!$D$2:$D$11,"Not Found")</f>
        <v>240</v>
      </c>
      <c r="K154">
        <f t="shared" si="6"/>
        <v>816</v>
      </c>
      <c r="L154">
        <f>_xlfn.XLOOKUP(D154,[1]products!$A$2:$A$11,[1]products!$E$2:$E$11,"Not Found")</f>
        <v>55.2</v>
      </c>
      <c r="M154">
        <f t="shared" si="7"/>
        <v>575.20000000000005</v>
      </c>
      <c r="N154" t="str">
        <f>_xlfn.XLOOKUP(C154,[2]customers!$A$2:$A$81,[2]customers!$C$2:$C$81,"Not Found")</f>
        <v>West</v>
      </c>
      <c r="O154" t="str">
        <f>_xlfn.XLOOKUP(D154,[1]products!$A$2:$A$11,[1]products!$C$2:$C$11,"Not Found")</f>
        <v>Vacuum Cleaner</v>
      </c>
      <c r="P154" t="str">
        <f>_xlfn.XLOOKUP(C154,[2]customers!$A$2:$A$81,[2]customers!$E$2:$E$81,"Not Found")</f>
        <v>Corporate</v>
      </c>
      <c r="Q154" t="str">
        <f t="shared" si="8"/>
        <v>November</v>
      </c>
    </row>
    <row r="155" spans="1:17" x14ac:dyDescent="0.3">
      <c r="A155" s="1" t="s">
        <v>245</v>
      </c>
      <c r="B155" s="2">
        <v>45981</v>
      </c>
      <c r="C155" s="1" t="s">
        <v>10</v>
      </c>
      <c r="D155" s="1" t="s">
        <v>74</v>
      </c>
      <c r="E155" s="1" t="s">
        <v>12</v>
      </c>
      <c r="F155" s="1">
        <v>4</v>
      </c>
      <c r="G155" s="1">
        <v>0</v>
      </c>
      <c r="H155" s="1" t="s">
        <v>13</v>
      </c>
      <c r="I155" s="1">
        <v>12</v>
      </c>
      <c r="J155">
        <f>_xlfn.XLOOKUP(D155,[1]products!$A$2:$A$11,[1]products!$D$2:$D$11,"Not Found")</f>
        <v>90</v>
      </c>
      <c r="K155">
        <f t="shared" si="6"/>
        <v>360</v>
      </c>
      <c r="L155">
        <f>_xlfn.XLOOKUP(D155,[1]products!$A$2:$A$11,[1]products!$E$2:$E$11,"Not Found")</f>
        <v>25.2</v>
      </c>
      <c r="M155">
        <f t="shared" si="7"/>
        <v>247.2</v>
      </c>
      <c r="N155" t="str">
        <f>_xlfn.XLOOKUP(C155,[2]customers!$A$2:$A$81,[2]customers!$C$2:$C$81,"Not Found")</f>
        <v>West</v>
      </c>
      <c r="O155" t="str">
        <f>_xlfn.XLOOKUP(D155,[1]products!$A$2:$A$11,[1]products!$C$2:$C$11,"Not Found")</f>
        <v>Headphones</v>
      </c>
      <c r="P155" t="str">
        <f>_xlfn.XLOOKUP(C155,[2]customers!$A$2:$A$81,[2]customers!$E$2:$E$81,"Not Found")</f>
        <v>Corporate</v>
      </c>
      <c r="Q155" t="str">
        <f t="shared" si="8"/>
        <v>November</v>
      </c>
    </row>
    <row r="156" spans="1:17" x14ac:dyDescent="0.3">
      <c r="A156" s="1" t="s">
        <v>246</v>
      </c>
      <c r="B156" s="2">
        <v>45894</v>
      </c>
      <c r="C156" s="1" t="s">
        <v>133</v>
      </c>
      <c r="D156" s="1" t="s">
        <v>25</v>
      </c>
      <c r="E156" s="1" t="s">
        <v>50</v>
      </c>
      <c r="F156" s="1">
        <v>3</v>
      </c>
      <c r="G156" s="1">
        <v>0.15</v>
      </c>
      <c r="H156" s="1" t="s">
        <v>13</v>
      </c>
      <c r="I156" s="1">
        <v>8</v>
      </c>
      <c r="J156">
        <f>_xlfn.XLOOKUP(D156,[1]products!$A$2:$A$11,[1]products!$D$2:$D$11,"Not Found")</f>
        <v>850</v>
      </c>
      <c r="K156">
        <f t="shared" si="6"/>
        <v>2167.5</v>
      </c>
      <c r="L156">
        <f>_xlfn.XLOOKUP(D156,[1]products!$A$2:$A$11,[1]products!$E$2:$E$11,"Not Found")</f>
        <v>187</v>
      </c>
      <c r="M156">
        <f t="shared" si="7"/>
        <v>1598.5</v>
      </c>
      <c r="N156" t="str">
        <f>_xlfn.XLOOKUP(C156,[2]customers!$A$2:$A$81,[2]customers!$C$2:$C$81,"Not Found")</f>
        <v>South</v>
      </c>
      <c r="O156" t="str">
        <f>_xlfn.XLOOKUP(D156,[1]products!$A$2:$A$11,[1]products!$C$2:$C$11,"Not Found")</f>
        <v>Laptop</v>
      </c>
      <c r="P156" t="str">
        <f>_xlfn.XLOOKUP(C156,[2]customers!$A$2:$A$81,[2]customers!$E$2:$E$81,"Not Found")</f>
        <v>Home Office</v>
      </c>
      <c r="Q156" t="str">
        <f t="shared" si="8"/>
        <v>August</v>
      </c>
    </row>
    <row r="157" spans="1:17" x14ac:dyDescent="0.3">
      <c r="A157" s="1" t="s">
        <v>247</v>
      </c>
      <c r="B157" s="2">
        <v>45704</v>
      </c>
      <c r="C157" s="1" t="s">
        <v>248</v>
      </c>
      <c r="D157" s="1" t="s">
        <v>38</v>
      </c>
      <c r="E157" s="1" t="s">
        <v>53</v>
      </c>
      <c r="F157" s="1">
        <v>3</v>
      </c>
      <c r="G157" s="1">
        <v>0</v>
      </c>
      <c r="H157" s="1" t="s">
        <v>13</v>
      </c>
      <c r="I157" s="1">
        <v>18</v>
      </c>
      <c r="J157">
        <f>_xlfn.XLOOKUP(D157,[1]products!$A$2:$A$11,[1]products!$D$2:$D$11,"Not Found")</f>
        <v>210</v>
      </c>
      <c r="K157">
        <f t="shared" si="6"/>
        <v>630</v>
      </c>
      <c r="L157">
        <f>_xlfn.XLOOKUP(D157,[1]products!$A$2:$A$11,[1]products!$E$2:$E$11,"Not Found")</f>
        <v>52.5</v>
      </c>
      <c r="M157">
        <f t="shared" si="7"/>
        <v>454.5</v>
      </c>
      <c r="N157" t="str">
        <f>_xlfn.XLOOKUP(C157,[2]customers!$A$2:$A$81,[2]customers!$C$2:$C$81,"Not Found")</f>
        <v>East</v>
      </c>
      <c r="O157" t="str">
        <f>_xlfn.XLOOKUP(D157,[1]products!$A$2:$A$11,[1]products!$C$2:$C$11,"Not Found")</f>
        <v>Bookshelf</v>
      </c>
      <c r="P157" t="str">
        <f>_xlfn.XLOOKUP(C157,[2]customers!$A$2:$A$81,[2]customers!$E$2:$E$81,"Not Found")</f>
        <v>Consumer</v>
      </c>
      <c r="Q157" t="str">
        <f t="shared" si="8"/>
        <v>February</v>
      </c>
    </row>
    <row r="158" spans="1:17" x14ac:dyDescent="0.3">
      <c r="A158" s="1" t="s">
        <v>249</v>
      </c>
      <c r="B158" s="2">
        <v>45679</v>
      </c>
      <c r="C158" s="1" t="s">
        <v>154</v>
      </c>
      <c r="D158" s="1" t="s">
        <v>43</v>
      </c>
      <c r="E158" s="1" t="s">
        <v>50</v>
      </c>
      <c r="F158" s="1">
        <v>4</v>
      </c>
      <c r="G158" s="1">
        <v>0.15</v>
      </c>
      <c r="H158" s="1" t="s">
        <v>13</v>
      </c>
      <c r="I158" s="1">
        <v>18</v>
      </c>
      <c r="J158">
        <f>_xlfn.XLOOKUP(D158,[1]products!$A$2:$A$11,[1]products!$D$2:$D$11,"Not Found")</f>
        <v>160</v>
      </c>
      <c r="K158">
        <f t="shared" si="6"/>
        <v>544</v>
      </c>
      <c r="L158">
        <f>_xlfn.XLOOKUP(D158,[1]products!$A$2:$A$11,[1]products!$E$2:$E$11,"Not Found")</f>
        <v>38.4</v>
      </c>
      <c r="M158">
        <f t="shared" si="7"/>
        <v>372.4</v>
      </c>
      <c r="N158" t="str">
        <f>_xlfn.XLOOKUP(C158,[2]customers!$A$2:$A$81,[2]customers!$C$2:$C$81,"Not Found")</f>
        <v>North</v>
      </c>
      <c r="O158" t="str">
        <f>_xlfn.XLOOKUP(D158,[1]products!$A$2:$A$11,[1]products!$C$2:$C$11,"Not Found")</f>
        <v>Microwave</v>
      </c>
      <c r="P158" t="str">
        <f>_xlfn.XLOOKUP(C158,[2]customers!$A$2:$A$81,[2]customers!$E$2:$E$81,"Not Found")</f>
        <v>Consumer</v>
      </c>
      <c r="Q158" t="str">
        <f t="shared" si="8"/>
        <v>January</v>
      </c>
    </row>
    <row r="159" spans="1:17" x14ac:dyDescent="0.3">
      <c r="A159" s="1" t="s">
        <v>250</v>
      </c>
      <c r="B159" s="2">
        <v>45689</v>
      </c>
      <c r="C159" s="1" t="s">
        <v>251</v>
      </c>
      <c r="D159" s="1" t="s">
        <v>38</v>
      </c>
      <c r="E159" s="1" t="s">
        <v>50</v>
      </c>
      <c r="F159" s="1">
        <v>5</v>
      </c>
      <c r="G159" s="1">
        <v>0.1</v>
      </c>
      <c r="H159" s="1" t="s">
        <v>13</v>
      </c>
      <c r="I159" s="1">
        <v>8</v>
      </c>
      <c r="J159">
        <f>_xlfn.XLOOKUP(D159,[1]products!$A$2:$A$11,[1]products!$D$2:$D$11,"Not Found")</f>
        <v>210</v>
      </c>
      <c r="K159">
        <f t="shared" si="6"/>
        <v>945</v>
      </c>
      <c r="L159">
        <f>_xlfn.XLOOKUP(D159,[1]products!$A$2:$A$11,[1]products!$E$2:$E$11,"Not Found")</f>
        <v>52.5</v>
      </c>
      <c r="M159">
        <f t="shared" si="7"/>
        <v>674.5</v>
      </c>
      <c r="N159" t="str">
        <f>_xlfn.XLOOKUP(C159,[2]customers!$A$2:$A$81,[2]customers!$C$2:$C$81,"Not Found")</f>
        <v>East</v>
      </c>
      <c r="O159" t="str">
        <f>_xlfn.XLOOKUP(D159,[1]products!$A$2:$A$11,[1]products!$C$2:$C$11,"Not Found")</f>
        <v>Bookshelf</v>
      </c>
      <c r="P159" t="str">
        <f>_xlfn.XLOOKUP(C159,[2]customers!$A$2:$A$81,[2]customers!$E$2:$E$81,"Not Found")</f>
        <v>Home Office</v>
      </c>
      <c r="Q159" t="str">
        <f t="shared" si="8"/>
        <v>February</v>
      </c>
    </row>
    <row r="160" spans="1:17" x14ac:dyDescent="0.3">
      <c r="A160" s="1" t="s">
        <v>252</v>
      </c>
      <c r="B160" s="2">
        <v>46020</v>
      </c>
      <c r="C160" s="1" t="s">
        <v>30</v>
      </c>
      <c r="D160" s="1" t="s">
        <v>15</v>
      </c>
      <c r="E160" s="1" t="s">
        <v>50</v>
      </c>
      <c r="F160" s="1">
        <v>5</v>
      </c>
      <c r="G160" s="1">
        <v>0</v>
      </c>
      <c r="H160" s="1" t="s">
        <v>13</v>
      </c>
      <c r="I160" s="1">
        <v>15</v>
      </c>
      <c r="J160">
        <f>_xlfn.XLOOKUP(D160,[1]products!$A$2:$A$11,[1]products!$D$2:$D$11,"Not Found")</f>
        <v>600</v>
      </c>
      <c r="K160">
        <f t="shared" si="6"/>
        <v>3000</v>
      </c>
      <c r="L160">
        <f>_xlfn.XLOOKUP(D160,[1]products!$A$2:$A$11,[1]products!$E$2:$E$11,"Not Found")</f>
        <v>120</v>
      </c>
      <c r="M160">
        <f t="shared" si="7"/>
        <v>2385</v>
      </c>
      <c r="N160" t="str">
        <f>_xlfn.XLOOKUP(C160,[2]customers!$A$2:$A$81,[2]customers!$C$2:$C$81,"Not Found")</f>
        <v>West</v>
      </c>
      <c r="O160" t="str">
        <f>_xlfn.XLOOKUP(D160,[1]products!$A$2:$A$11,[1]products!$C$2:$C$11,"Not Found")</f>
        <v>Smartphone</v>
      </c>
      <c r="P160" t="str">
        <f>_xlfn.XLOOKUP(C160,[2]customers!$A$2:$A$81,[2]customers!$E$2:$E$81,"Not Found")</f>
        <v>Home Office</v>
      </c>
      <c r="Q160" t="str">
        <f t="shared" si="8"/>
        <v>December</v>
      </c>
    </row>
    <row r="161" spans="1:17" x14ac:dyDescent="0.3">
      <c r="A161" s="1" t="s">
        <v>253</v>
      </c>
      <c r="B161" s="2">
        <v>45802</v>
      </c>
      <c r="C161" s="1" t="s">
        <v>24</v>
      </c>
      <c r="D161" s="1" t="s">
        <v>35</v>
      </c>
      <c r="E161" s="1" t="s">
        <v>50</v>
      </c>
      <c r="F161" s="1">
        <v>5</v>
      </c>
      <c r="G161" s="1">
        <v>0</v>
      </c>
      <c r="H161" s="1" t="s">
        <v>13</v>
      </c>
      <c r="I161" s="1">
        <v>15</v>
      </c>
      <c r="J161">
        <f>_xlfn.XLOOKUP(D161,[1]products!$A$2:$A$11,[1]products!$D$2:$D$11,"Not Found")</f>
        <v>130</v>
      </c>
      <c r="K161">
        <f t="shared" si="6"/>
        <v>650</v>
      </c>
      <c r="L161">
        <f>_xlfn.XLOOKUP(D161,[1]products!$A$2:$A$11,[1]products!$E$2:$E$11,"Not Found")</f>
        <v>33.799999999999997</v>
      </c>
      <c r="M161">
        <f t="shared" si="7"/>
        <v>466</v>
      </c>
      <c r="N161" t="str">
        <f>_xlfn.XLOOKUP(C161,[2]customers!$A$2:$A$81,[2]customers!$C$2:$C$81,"Not Found")</f>
        <v>North</v>
      </c>
      <c r="O161" t="str">
        <f>_xlfn.XLOOKUP(D161,[1]products!$A$2:$A$11,[1]products!$C$2:$C$11,"Not Found")</f>
        <v>Air Fryer</v>
      </c>
      <c r="P161" t="str">
        <f>_xlfn.XLOOKUP(C161,[2]customers!$A$2:$A$81,[2]customers!$E$2:$E$81,"Not Found")</f>
        <v>Consumer</v>
      </c>
      <c r="Q161" t="str">
        <f t="shared" si="8"/>
        <v>May</v>
      </c>
    </row>
    <row r="162" spans="1:17" x14ac:dyDescent="0.3">
      <c r="A162" s="1" t="s">
        <v>254</v>
      </c>
      <c r="B162" s="2">
        <v>45706</v>
      </c>
      <c r="C162" s="1" t="s">
        <v>30</v>
      </c>
      <c r="D162" s="1" t="s">
        <v>71</v>
      </c>
      <c r="E162" s="1" t="s">
        <v>53</v>
      </c>
      <c r="F162" s="1">
        <v>1</v>
      </c>
      <c r="G162" s="1">
        <v>0.05</v>
      </c>
      <c r="H162" s="1" t="s">
        <v>13</v>
      </c>
      <c r="I162" s="1">
        <v>20</v>
      </c>
      <c r="J162">
        <f>_xlfn.XLOOKUP(D162,[1]products!$A$2:$A$11,[1]products!$D$2:$D$11,"Not Found")</f>
        <v>240</v>
      </c>
      <c r="K162">
        <f t="shared" si="6"/>
        <v>228</v>
      </c>
      <c r="L162">
        <f>_xlfn.XLOOKUP(D162,[1]products!$A$2:$A$11,[1]products!$E$2:$E$11,"Not Found")</f>
        <v>55.2</v>
      </c>
      <c r="M162">
        <f t="shared" si="7"/>
        <v>152.80000000000001</v>
      </c>
      <c r="N162" t="str">
        <f>_xlfn.XLOOKUP(C162,[2]customers!$A$2:$A$81,[2]customers!$C$2:$C$81,"Not Found")</f>
        <v>West</v>
      </c>
      <c r="O162" t="str">
        <f>_xlfn.XLOOKUP(D162,[1]products!$A$2:$A$11,[1]products!$C$2:$C$11,"Not Found")</f>
        <v>Vacuum Cleaner</v>
      </c>
      <c r="P162" t="str">
        <f>_xlfn.XLOOKUP(C162,[2]customers!$A$2:$A$81,[2]customers!$E$2:$E$81,"Not Found")</f>
        <v>Home Office</v>
      </c>
      <c r="Q162" t="str">
        <f t="shared" si="8"/>
        <v>February</v>
      </c>
    </row>
    <row r="163" spans="1:17" x14ac:dyDescent="0.3">
      <c r="A163" s="1" t="s">
        <v>255</v>
      </c>
      <c r="B163" s="2">
        <v>45828</v>
      </c>
      <c r="C163" s="1" t="s">
        <v>81</v>
      </c>
      <c r="D163" s="1" t="s">
        <v>21</v>
      </c>
      <c r="E163" s="1" t="s">
        <v>16</v>
      </c>
      <c r="F163" s="1">
        <v>3</v>
      </c>
      <c r="G163" s="1">
        <v>0.15</v>
      </c>
      <c r="H163" s="1" t="s">
        <v>22</v>
      </c>
      <c r="I163" s="1">
        <v>18</v>
      </c>
      <c r="J163">
        <f>_xlfn.XLOOKUP(D163,[1]products!$A$2:$A$11,[1]products!$D$2:$D$11,"Not Found")</f>
        <v>320</v>
      </c>
      <c r="K163">
        <f t="shared" si="6"/>
        <v>816</v>
      </c>
      <c r="L163">
        <f>_xlfn.XLOOKUP(D163,[1]products!$A$2:$A$11,[1]products!$E$2:$E$11,"Not Found")</f>
        <v>86.4</v>
      </c>
      <c r="M163">
        <f t="shared" si="7"/>
        <v>538.79999999999995</v>
      </c>
      <c r="N163" t="str">
        <f>_xlfn.XLOOKUP(C163,[2]customers!$A$2:$A$81,[2]customers!$C$2:$C$81,"Not Found")</f>
        <v>West</v>
      </c>
      <c r="O163" t="str">
        <f>_xlfn.XLOOKUP(D163,[1]products!$A$2:$A$11,[1]products!$C$2:$C$11,"Not Found")</f>
        <v>Desk</v>
      </c>
      <c r="P163" t="str">
        <f>_xlfn.XLOOKUP(C163,[2]customers!$A$2:$A$81,[2]customers!$E$2:$E$81,"Not Found")</f>
        <v>Consumer</v>
      </c>
      <c r="Q163" t="str">
        <f t="shared" si="8"/>
        <v>June</v>
      </c>
    </row>
    <row r="164" spans="1:17" x14ac:dyDescent="0.3">
      <c r="A164" s="1" t="s">
        <v>256</v>
      </c>
      <c r="B164" s="2">
        <v>46020</v>
      </c>
      <c r="C164" s="1" t="s">
        <v>176</v>
      </c>
      <c r="D164" s="1" t="s">
        <v>38</v>
      </c>
      <c r="E164" s="1" t="s">
        <v>16</v>
      </c>
      <c r="F164" s="1">
        <v>3</v>
      </c>
      <c r="G164" s="1">
        <v>0.1</v>
      </c>
      <c r="H164" s="1" t="s">
        <v>13</v>
      </c>
      <c r="I164" s="1">
        <v>12</v>
      </c>
      <c r="J164">
        <f>_xlfn.XLOOKUP(D164,[1]products!$A$2:$A$11,[1]products!$D$2:$D$11,"Not Found")</f>
        <v>210</v>
      </c>
      <c r="K164">
        <f t="shared" si="6"/>
        <v>567</v>
      </c>
      <c r="L164">
        <f>_xlfn.XLOOKUP(D164,[1]products!$A$2:$A$11,[1]products!$E$2:$E$11,"Not Found")</f>
        <v>52.5</v>
      </c>
      <c r="M164">
        <f t="shared" si="7"/>
        <v>397.5</v>
      </c>
      <c r="N164" t="str">
        <f>_xlfn.XLOOKUP(C164,[2]customers!$A$2:$A$81,[2]customers!$C$2:$C$81,"Not Found")</f>
        <v>West</v>
      </c>
      <c r="O164" t="str">
        <f>_xlfn.XLOOKUP(D164,[1]products!$A$2:$A$11,[1]products!$C$2:$C$11,"Not Found")</f>
        <v>Bookshelf</v>
      </c>
      <c r="P164" t="str">
        <f>_xlfn.XLOOKUP(C164,[2]customers!$A$2:$A$81,[2]customers!$E$2:$E$81,"Not Found")</f>
        <v>Home Office</v>
      </c>
      <c r="Q164" t="str">
        <f t="shared" si="8"/>
        <v>December</v>
      </c>
    </row>
    <row r="165" spans="1:17" x14ac:dyDescent="0.3">
      <c r="A165" s="1" t="s">
        <v>257</v>
      </c>
      <c r="B165" s="2">
        <v>46008</v>
      </c>
      <c r="C165" s="1" t="s">
        <v>42</v>
      </c>
      <c r="D165" s="1" t="s">
        <v>43</v>
      </c>
      <c r="E165" s="1" t="s">
        <v>53</v>
      </c>
      <c r="F165" s="1">
        <v>3</v>
      </c>
      <c r="G165" s="1">
        <v>0</v>
      </c>
      <c r="H165" s="1" t="s">
        <v>13</v>
      </c>
      <c r="I165" s="1">
        <v>8</v>
      </c>
      <c r="J165">
        <f>_xlfn.XLOOKUP(D165,[1]products!$A$2:$A$11,[1]products!$D$2:$D$11,"Not Found")</f>
        <v>160</v>
      </c>
      <c r="K165">
        <f t="shared" si="6"/>
        <v>480</v>
      </c>
      <c r="L165">
        <f>_xlfn.XLOOKUP(D165,[1]products!$A$2:$A$11,[1]products!$E$2:$E$11,"Not Found")</f>
        <v>38.4</v>
      </c>
      <c r="M165">
        <f t="shared" si="7"/>
        <v>356.8</v>
      </c>
      <c r="N165" t="str">
        <f>_xlfn.XLOOKUP(C165,[2]customers!$A$2:$A$81,[2]customers!$C$2:$C$81,"Not Found")</f>
        <v>South</v>
      </c>
      <c r="O165" t="str">
        <f>_xlfn.XLOOKUP(D165,[1]products!$A$2:$A$11,[1]products!$C$2:$C$11,"Not Found")</f>
        <v>Microwave</v>
      </c>
      <c r="P165" t="str">
        <f>_xlfn.XLOOKUP(C165,[2]customers!$A$2:$A$81,[2]customers!$E$2:$E$81,"Not Found")</f>
        <v>Home Office</v>
      </c>
      <c r="Q165" t="str">
        <f t="shared" si="8"/>
        <v>December</v>
      </c>
    </row>
    <row r="166" spans="1:17" x14ac:dyDescent="0.3">
      <c r="A166" s="1" t="s">
        <v>258</v>
      </c>
      <c r="B166" s="2">
        <v>45750</v>
      </c>
      <c r="C166" s="1" t="s">
        <v>32</v>
      </c>
      <c r="D166" s="1" t="s">
        <v>35</v>
      </c>
      <c r="E166" s="1" t="s">
        <v>26</v>
      </c>
      <c r="F166" s="1">
        <v>3</v>
      </c>
      <c r="G166" s="1">
        <v>0</v>
      </c>
      <c r="H166" s="1" t="s">
        <v>13</v>
      </c>
      <c r="I166" s="1">
        <v>12</v>
      </c>
      <c r="J166">
        <f>_xlfn.XLOOKUP(D166,[1]products!$A$2:$A$11,[1]products!$D$2:$D$11,"Not Found")</f>
        <v>130</v>
      </c>
      <c r="K166">
        <f t="shared" si="6"/>
        <v>390</v>
      </c>
      <c r="L166">
        <f>_xlfn.XLOOKUP(D166,[1]products!$A$2:$A$11,[1]products!$E$2:$E$11,"Not Found")</f>
        <v>33.799999999999997</v>
      </c>
      <c r="M166">
        <f t="shared" si="7"/>
        <v>276.60000000000002</v>
      </c>
      <c r="N166" t="str">
        <f>_xlfn.XLOOKUP(C166,[2]customers!$A$2:$A$81,[2]customers!$C$2:$C$81,"Not Found")</f>
        <v>West</v>
      </c>
      <c r="O166" t="str">
        <f>_xlfn.XLOOKUP(D166,[1]products!$A$2:$A$11,[1]products!$C$2:$C$11,"Not Found")</f>
        <v>Air Fryer</v>
      </c>
      <c r="P166" t="str">
        <f>_xlfn.XLOOKUP(C166,[2]customers!$A$2:$A$81,[2]customers!$E$2:$E$81,"Not Found")</f>
        <v>Consumer</v>
      </c>
      <c r="Q166" t="str">
        <f t="shared" si="8"/>
        <v>April</v>
      </c>
    </row>
    <row r="167" spans="1:17" x14ac:dyDescent="0.3">
      <c r="A167" s="1" t="s">
        <v>259</v>
      </c>
      <c r="B167" s="2">
        <v>45809</v>
      </c>
      <c r="C167" s="1" t="s">
        <v>260</v>
      </c>
      <c r="D167" s="1" t="s">
        <v>11</v>
      </c>
      <c r="E167" s="1" t="s">
        <v>16</v>
      </c>
      <c r="F167" s="1">
        <v>2</v>
      </c>
      <c r="G167" s="1">
        <v>0</v>
      </c>
      <c r="H167" s="1" t="s">
        <v>13</v>
      </c>
      <c r="I167" s="1">
        <v>18</v>
      </c>
      <c r="J167">
        <f>_xlfn.XLOOKUP(D167,[1]products!$A$2:$A$11,[1]products!$D$2:$D$11,"Not Found")</f>
        <v>180</v>
      </c>
      <c r="K167">
        <f t="shared" si="6"/>
        <v>360</v>
      </c>
      <c r="L167">
        <f>_xlfn.XLOOKUP(D167,[1]products!$A$2:$A$11,[1]products!$E$2:$E$11,"Not Found")</f>
        <v>54</v>
      </c>
      <c r="M167">
        <f t="shared" si="7"/>
        <v>234</v>
      </c>
      <c r="N167" t="str">
        <f>_xlfn.XLOOKUP(C167,[2]customers!$A$2:$A$81,[2]customers!$C$2:$C$81,"Not Found")</f>
        <v>North</v>
      </c>
      <c r="O167" t="str">
        <f>_xlfn.XLOOKUP(D167,[1]products!$A$2:$A$11,[1]products!$C$2:$C$11,"Not Found")</f>
        <v>Office Chair</v>
      </c>
      <c r="P167" t="str">
        <f>_xlfn.XLOOKUP(C167,[2]customers!$A$2:$A$81,[2]customers!$E$2:$E$81,"Not Found")</f>
        <v>Corporate</v>
      </c>
      <c r="Q167" t="str">
        <f t="shared" si="8"/>
        <v>June</v>
      </c>
    </row>
    <row r="168" spans="1:17" x14ac:dyDescent="0.3">
      <c r="A168" s="1" t="s">
        <v>261</v>
      </c>
      <c r="B168" s="2">
        <v>45974</v>
      </c>
      <c r="C168" s="1" t="s">
        <v>262</v>
      </c>
      <c r="D168" s="1" t="s">
        <v>35</v>
      </c>
      <c r="E168" s="1" t="s">
        <v>26</v>
      </c>
      <c r="F168" s="1">
        <v>1</v>
      </c>
      <c r="G168" s="1">
        <v>0.05</v>
      </c>
      <c r="H168" s="1" t="s">
        <v>22</v>
      </c>
      <c r="I168" s="1">
        <v>18</v>
      </c>
      <c r="J168">
        <f>_xlfn.XLOOKUP(D168,[1]products!$A$2:$A$11,[1]products!$D$2:$D$11,"Not Found")</f>
        <v>130</v>
      </c>
      <c r="K168">
        <f t="shared" si="6"/>
        <v>123.5</v>
      </c>
      <c r="L168">
        <f>_xlfn.XLOOKUP(D168,[1]products!$A$2:$A$11,[1]products!$E$2:$E$11,"Not Found")</f>
        <v>33.799999999999997</v>
      </c>
      <c r="M168">
        <f t="shared" si="7"/>
        <v>71.7</v>
      </c>
      <c r="N168" t="str">
        <f>_xlfn.XLOOKUP(C168,[2]customers!$A$2:$A$81,[2]customers!$C$2:$C$81,"Not Found")</f>
        <v>East</v>
      </c>
      <c r="O168" t="str">
        <f>_xlfn.XLOOKUP(D168,[1]products!$A$2:$A$11,[1]products!$C$2:$C$11,"Not Found")</f>
        <v>Air Fryer</v>
      </c>
      <c r="P168" t="str">
        <f>_xlfn.XLOOKUP(C168,[2]customers!$A$2:$A$81,[2]customers!$E$2:$E$81,"Not Found")</f>
        <v>Home Office</v>
      </c>
      <c r="Q168" t="str">
        <f t="shared" si="8"/>
        <v>November</v>
      </c>
    </row>
    <row r="169" spans="1:17" x14ac:dyDescent="0.3">
      <c r="A169" s="1" t="s">
        <v>263</v>
      </c>
      <c r="B169" s="2">
        <v>45977</v>
      </c>
      <c r="C169" s="1" t="s">
        <v>104</v>
      </c>
      <c r="D169" s="1" t="s">
        <v>74</v>
      </c>
      <c r="E169" s="1" t="s">
        <v>26</v>
      </c>
      <c r="F169" s="1">
        <v>2</v>
      </c>
      <c r="G169" s="1">
        <v>0</v>
      </c>
      <c r="H169" s="1" t="s">
        <v>22</v>
      </c>
      <c r="I169" s="1">
        <v>20</v>
      </c>
      <c r="J169">
        <f>_xlfn.XLOOKUP(D169,[1]products!$A$2:$A$11,[1]products!$D$2:$D$11,"Not Found")</f>
        <v>90</v>
      </c>
      <c r="K169">
        <f t="shared" si="6"/>
        <v>180</v>
      </c>
      <c r="L169">
        <f>_xlfn.XLOOKUP(D169,[1]products!$A$2:$A$11,[1]products!$E$2:$E$11,"Not Found")</f>
        <v>25.2</v>
      </c>
      <c r="M169">
        <f t="shared" si="7"/>
        <v>109.6</v>
      </c>
      <c r="N169" t="str">
        <f>_xlfn.XLOOKUP(C169,[2]customers!$A$2:$A$81,[2]customers!$C$2:$C$81,"Not Found")</f>
        <v>East</v>
      </c>
      <c r="O169" t="str">
        <f>_xlfn.XLOOKUP(D169,[1]products!$A$2:$A$11,[1]products!$C$2:$C$11,"Not Found")</f>
        <v>Headphones</v>
      </c>
      <c r="P169" t="str">
        <f>_xlfn.XLOOKUP(C169,[2]customers!$A$2:$A$81,[2]customers!$E$2:$E$81,"Not Found")</f>
        <v>Home Office</v>
      </c>
      <c r="Q169" t="str">
        <f t="shared" si="8"/>
        <v>November</v>
      </c>
    </row>
    <row r="170" spans="1:17" x14ac:dyDescent="0.3">
      <c r="A170" s="1" t="s">
        <v>264</v>
      </c>
      <c r="B170" s="2">
        <v>45779</v>
      </c>
      <c r="C170" s="1" t="s">
        <v>34</v>
      </c>
      <c r="D170" s="1" t="s">
        <v>25</v>
      </c>
      <c r="E170" s="1" t="s">
        <v>50</v>
      </c>
      <c r="F170" s="1">
        <v>4</v>
      </c>
      <c r="G170" s="1">
        <v>0.05</v>
      </c>
      <c r="H170" s="1" t="s">
        <v>13</v>
      </c>
      <c r="I170" s="1">
        <v>18</v>
      </c>
      <c r="J170">
        <f>_xlfn.XLOOKUP(D170,[1]products!$A$2:$A$11,[1]products!$D$2:$D$11,"Not Found")</f>
        <v>850</v>
      </c>
      <c r="K170">
        <f t="shared" si="6"/>
        <v>3230</v>
      </c>
      <c r="L170">
        <f>_xlfn.XLOOKUP(D170,[1]products!$A$2:$A$11,[1]products!$E$2:$E$11,"Not Found")</f>
        <v>187</v>
      </c>
      <c r="M170">
        <f t="shared" si="7"/>
        <v>2464</v>
      </c>
      <c r="N170" t="str">
        <f>_xlfn.XLOOKUP(C170,[2]customers!$A$2:$A$81,[2]customers!$C$2:$C$81,"Not Found")</f>
        <v>North</v>
      </c>
      <c r="O170" t="str">
        <f>_xlfn.XLOOKUP(D170,[1]products!$A$2:$A$11,[1]products!$C$2:$C$11,"Not Found")</f>
        <v>Laptop</v>
      </c>
      <c r="P170" t="str">
        <f>_xlfn.XLOOKUP(C170,[2]customers!$A$2:$A$81,[2]customers!$E$2:$E$81,"Not Found")</f>
        <v>Corporate</v>
      </c>
      <c r="Q170" t="str">
        <f t="shared" si="8"/>
        <v>May</v>
      </c>
    </row>
    <row r="171" spans="1:17" x14ac:dyDescent="0.3">
      <c r="A171" s="1" t="s">
        <v>265</v>
      </c>
      <c r="B171" s="2">
        <v>45898</v>
      </c>
      <c r="C171" s="1" t="s">
        <v>266</v>
      </c>
      <c r="D171" s="1" t="s">
        <v>79</v>
      </c>
      <c r="E171" s="1" t="s">
        <v>26</v>
      </c>
      <c r="F171" s="1">
        <v>2</v>
      </c>
      <c r="G171" s="1">
        <v>0.15</v>
      </c>
      <c r="H171" s="1" t="s">
        <v>13</v>
      </c>
      <c r="I171" s="1">
        <v>12</v>
      </c>
      <c r="J171">
        <f>_xlfn.XLOOKUP(D171,[1]products!$A$2:$A$11,[1]products!$D$2:$D$11,"Not Found")</f>
        <v>70</v>
      </c>
      <c r="K171">
        <f t="shared" si="6"/>
        <v>119</v>
      </c>
      <c r="L171">
        <f>_xlfn.XLOOKUP(D171,[1]products!$A$2:$A$11,[1]products!$E$2:$E$11,"Not Found")</f>
        <v>22.4</v>
      </c>
      <c r="M171">
        <f t="shared" si="7"/>
        <v>62.2</v>
      </c>
      <c r="N171" t="str">
        <f>_xlfn.XLOOKUP(C171,[2]customers!$A$2:$A$81,[2]customers!$C$2:$C$81,"Not Found")</f>
        <v>South</v>
      </c>
      <c r="O171" t="str">
        <f>_xlfn.XLOOKUP(D171,[1]products!$A$2:$A$11,[1]products!$C$2:$C$11,"Not Found")</f>
        <v>Blender</v>
      </c>
      <c r="P171" t="str">
        <f>_xlfn.XLOOKUP(C171,[2]customers!$A$2:$A$81,[2]customers!$E$2:$E$81,"Not Found")</f>
        <v>Consumer</v>
      </c>
      <c r="Q171" t="str">
        <f t="shared" si="8"/>
        <v>August</v>
      </c>
    </row>
    <row r="172" spans="1:17" x14ac:dyDescent="0.3">
      <c r="A172" s="1" t="s">
        <v>267</v>
      </c>
      <c r="B172" s="2">
        <v>45915</v>
      </c>
      <c r="C172" s="1" t="s">
        <v>59</v>
      </c>
      <c r="D172" s="1" t="s">
        <v>79</v>
      </c>
      <c r="E172" s="1" t="s">
        <v>53</v>
      </c>
      <c r="F172" s="1">
        <v>4</v>
      </c>
      <c r="G172" s="1">
        <v>0.05</v>
      </c>
      <c r="H172" s="1" t="s">
        <v>13</v>
      </c>
      <c r="I172" s="1">
        <v>15</v>
      </c>
      <c r="J172">
        <f>_xlfn.XLOOKUP(D172,[1]products!$A$2:$A$11,[1]products!$D$2:$D$11,"Not Found")</f>
        <v>70</v>
      </c>
      <c r="K172">
        <f t="shared" si="6"/>
        <v>266</v>
      </c>
      <c r="L172">
        <f>_xlfn.XLOOKUP(D172,[1]products!$A$2:$A$11,[1]products!$E$2:$E$11,"Not Found")</f>
        <v>22.4</v>
      </c>
      <c r="M172">
        <f t="shared" si="7"/>
        <v>161.4</v>
      </c>
      <c r="N172" t="str">
        <f>_xlfn.XLOOKUP(C172,[2]customers!$A$2:$A$81,[2]customers!$C$2:$C$81,"Not Found")</f>
        <v>West</v>
      </c>
      <c r="O172" t="str">
        <f>_xlfn.XLOOKUP(D172,[1]products!$A$2:$A$11,[1]products!$C$2:$C$11,"Not Found")</f>
        <v>Blender</v>
      </c>
      <c r="P172" t="str">
        <f>_xlfn.XLOOKUP(C172,[2]customers!$A$2:$A$81,[2]customers!$E$2:$E$81,"Not Found")</f>
        <v>Corporate</v>
      </c>
      <c r="Q172" t="str">
        <f t="shared" si="8"/>
        <v>September</v>
      </c>
    </row>
    <row r="173" spans="1:17" x14ac:dyDescent="0.3">
      <c r="A173" s="1" t="s">
        <v>268</v>
      </c>
      <c r="B173" s="2">
        <v>45684</v>
      </c>
      <c r="C173" s="1" t="s">
        <v>47</v>
      </c>
      <c r="D173" s="1" t="s">
        <v>11</v>
      </c>
      <c r="E173" s="1" t="s">
        <v>50</v>
      </c>
      <c r="F173" s="1">
        <v>5</v>
      </c>
      <c r="G173" s="1">
        <v>0</v>
      </c>
      <c r="H173" s="1" t="s">
        <v>22</v>
      </c>
      <c r="I173" s="1">
        <v>12</v>
      </c>
      <c r="J173">
        <f>_xlfn.XLOOKUP(D173,[1]products!$A$2:$A$11,[1]products!$D$2:$D$11,"Not Found")</f>
        <v>180</v>
      </c>
      <c r="K173">
        <f t="shared" si="6"/>
        <v>900</v>
      </c>
      <c r="L173">
        <f>_xlfn.XLOOKUP(D173,[1]products!$A$2:$A$11,[1]products!$E$2:$E$11,"Not Found")</f>
        <v>54</v>
      </c>
      <c r="M173">
        <f t="shared" si="7"/>
        <v>618</v>
      </c>
      <c r="N173" t="str">
        <f>_xlfn.XLOOKUP(C173,[2]customers!$A$2:$A$81,[2]customers!$C$2:$C$81,"Not Found")</f>
        <v>East</v>
      </c>
      <c r="O173" t="str">
        <f>_xlfn.XLOOKUP(D173,[1]products!$A$2:$A$11,[1]products!$C$2:$C$11,"Not Found")</f>
        <v>Office Chair</v>
      </c>
      <c r="P173" t="str">
        <f>_xlfn.XLOOKUP(C173,[2]customers!$A$2:$A$81,[2]customers!$E$2:$E$81,"Not Found")</f>
        <v>Home Office</v>
      </c>
      <c r="Q173" t="str">
        <f t="shared" si="8"/>
        <v>January</v>
      </c>
    </row>
    <row r="174" spans="1:17" x14ac:dyDescent="0.3">
      <c r="A174" s="1" t="s">
        <v>269</v>
      </c>
      <c r="B174" s="2">
        <v>45740</v>
      </c>
      <c r="C174" s="1" t="s">
        <v>147</v>
      </c>
      <c r="D174" s="1" t="s">
        <v>15</v>
      </c>
      <c r="E174" s="1" t="s">
        <v>12</v>
      </c>
      <c r="F174" s="1">
        <v>5</v>
      </c>
      <c r="G174" s="1">
        <v>0</v>
      </c>
      <c r="H174" s="1" t="s">
        <v>13</v>
      </c>
      <c r="I174" s="1">
        <v>15</v>
      </c>
      <c r="J174">
        <f>_xlfn.XLOOKUP(D174,[1]products!$A$2:$A$11,[1]products!$D$2:$D$11,"Not Found")</f>
        <v>600</v>
      </c>
      <c r="K174">
        <f t="shared" si="6"/>
        <v>3000</v>
      </c>
      <c r="L174">
        <f>_xlfn.XLOOKUP(D174,[1]products!$A$2:$A$11,[1]products!$E$2:$E$11,"Not Found")</f>
        <v>120</v>
      </c>
      <c r="M174">
        <f t="shared" si="7"/>
        <v>2385</v>
      </c>
      <c r="N174" t="str">
        <f>_xlfn.XLOOKUP(C174,[2]customers!$A$2:$A$81,[2]customers!$C$2:$C$81,"Not Found")</f>
        <v>North</v>
      </c>
      <c r="O174" t="str">
        <f>_xlfn.XLOOKUP(D174,[1]products!$A$2:$A$11,[1]products!$C$2:$C$11,"Not Found")</f>
        <v>Smartphone</v>
      </c>
      <c r="P174" t="str">
        <f>_xlfn.XLOOKUP(C174,[2]customers!$A$2:$A$81,[2]customers!$E$2:$E$81,"Not Found")</f>
        <v>Consumer</v>
      </c>
      <c r="Q174" t="str">
        <f t="shared" si="8"/>
        <v>March</v>
      </c>
    </row>
    <row r="175" spans="1:17" x14ac:dyDescent="0.3">
      <c r="A175" s="1" t="s">
        <v>270</v>
      </c>
      <c r="B175" s="2">
        <v>45771</v>
      </c>
      <c r="C175" s="1" t="s">
        <v>271</v>
      </c>
      <c r="D175" s="1" t="s">
        <v>74</v>
      </c>
      <c r="E175" s="1" t="s">
        <v>50</v>
      </c>
      <c r="F175" s="1">
        <v>4</v>
      </c>
      <c r="G175" s="1">
        <v>0</v>
      </c>
      <c r="H175" s="1" t="s">
        <v>62</v>
      </c>
      <c r="I175" s="1">
        <v>12</v>
      </c>
      <c r="J175">
        <f>_xlfn.XLOOKUP(D175,[1]products!$A$2:$A$11,[1]products!$D$2:$D$11,"Not Found")</f>
        <v>90</v>
      </c>
      <c r="K175">
        <f t="shared" si="6"/>
        <v>360</v>
      </c>
      <c r="L175">
        <f>_xlfn.XLOOKUP(D175,[1]products!$A$2:$A$11,[1]products!$E$2:$E$11,"Not Found")</f>
        <v>25.2</v>
      </c>
      <c r="M175">
        <f t="shared" si="7"/>
        <v>247.2</v>
      </c>
      <c r="N175" t="str">
        <f>_xlfn.XLOOKUP(C175,[2]customers!$A$2:$A$81,[2]customers!$C$2:$C$81,"Not Found")</f>
        <v>West</v>
      </c>
      <c r="O175" t="str">
        <f>_xlfn.XLOOKUP(D175,[1]products!$A$2:$A$11,[1]products!$C$2:$C$11,"Not Found")</f>
        <v>Headphones</v>
      </c>
      <c r="P175" t="str">
        <f>_xlfn.XLOOKUP(C175,[2]customers!$A$2:$A$81,[2]customers!$E$2:$E$81,"Not Found")</f>
        <v>Consumer</v>
      </c>
      <c r="Q175" t="str">
        <f t="shared" si="8"/>
        <v>April</v>
      </c>
    </row>
    <row r="176" spans="1:17" x14ac:dyDescent="0.3">
      <c r="A176" s="1" t="s">
        <v>272</v>
      </c>
      <c r="B176" s="2">
        <v>45778</v>
      </c>
      <c r="C176" s="1" t="s">
        <v>55</v>
      </c>
      <c r="D176" s="1" t="s">
        <v>43</v>
      </c>
      <c r="E176" s="1" t="s">
        <v>50</v>
      </c>
      <c r="F176" s="1">
        <v>1</v>
      </c>
      <c r="G176" s="1">
        <v>0.1</v>
      </c>
      <c r="H176" s="1" t="s">
        <v>13</v>
      </c>
      <c r="I176" s="1">
        <v>8</v>
      </c>
      <c r="J176">
        <f>_xlfn.XLOOKUP(D176,[1]products!$A$2:$A$11,[1]products!$D$2:$D$11,"Not Found")</f>
        <v>160</v>
      </c>
      <c r="K176">
        <f t="shared" si="6"/>
        <v>144</v>
      </c>
      <c r="L176">
        <f>_xlfn.XLOOKUP(D176,[1]products!$A$2:$A$11,[1]products!$E$2:$E$11,"Not Found")</f>
        <v>38.4</v>
      </c>
      <c r="M176">
        <f t="shared" si="7"/>
        <v>97.6</v>
      </c>
      <c r="N176" t="str">
        <f>_xlfn.XLOOKUP(C176,[2]customers!$A$2:$A$81,[2]customers!$C$2:$C$81,"Not Found")</f>
        <v>West</v>
      </c>
      <c r="O176" t="str">
        <f>_xlfn.XLOOKUP(D176,[1]products!$A$2:$A$11,[1]products!$C$2:$C$11,"Not Found")</f>
        <v>Microwave</v>
      </c>
      <c r="P176" t="str">
        <f>_xlfn.XLOOKUP(C176,[2]customers!$A$2:$A$81,[2]customers!$E$2:$E$81,"Not Found")</f>
        <v>Consumer</v>
      </c>
      <c r="Q176" t="str">
        <f t="shared" si="8"/>
        <v>May</v>
      </c>
    </row>
    <row r="177" spans="1:17" x14ac:dyDescent="0.3">
      <c r="A177" s="1" t="s">
        <v>273</v>
      </c>
      <c r="B177" s="2">
        <v>45990</v>
      </c>
      <c r="C177" s="1" t="s">
        <v>20</v>
      </c>
      <c r="D177" s="1" t="s">
        <v>11</v>
      </c>
      <c r="E177" s="1" t="s">
        <v>12</v>
      </c>
      <c r="F177" s="1">
        <v>1</v>
      </c>
      <c r="G177" s="1">
        <v>0.05</v>
      </c>
      <c r="H177" s="1" t="s">
        <v>22</v>
      </c>
      <c r="I177" s="1">
        <v>10</v>
      </c>
      <c r="J177">
        <f>_xlfn.XLOOKUP(D177,[1]products!$A$2:$A$11,[1]products!$D$2:$D$11,"Not Found")</f>
        <v>180</v>
      </c>
      <c r="K177">
        <f t="shared" si="6"/>
        <v>171</v>
      </c>
      <c r="L177">
        <f>_xlfn.XLOOKUP(D177,[1]products!$A$2:$A$11,[1]products!$E$2:$E$11,"Not Found")</f>
        <v>54</v>
      </c>
      <c r="M177">
        <f t="shared" si="7"/>
        <v>107</v>
      </c>
      <c r="N177" t="str">
        <f>_xlfn.XLOOKUP(C177,[2]customers!$A$2:$A$81,[2]customers!$C$2:$C$81,"Not Found")</f>
        <v>East</v>
      </c>
      <c r="O177" t="str">
        <f>_xlfn.XLOOKUP(D177,[1]products!$A$2:$A$11,[1]products!$C$2:$C$11,"Not Found")</f>
        <v>Office Chair</v>
      </c>
      <c r="P177" t="str">
        <f>_xlfn.XLOOKUP(C177,[2]customers!$A$2:$A$81,[2]customers!$E$2:$E$81,"Not Found")</f>
        <v>Home Office</v>
      </c>
      <c r="Q177" t="str">
        <f t="shared" si="8"/>
        <v>November</v>
      </c>
    </row>
    <row r="178" spans="1:17" x14ac:dyDescent="0.3">
      <c r="A178" s="1" t="s">
        <v>274</v>
      </c>
      <c r="B178" s="2">
        <v>45729</v>
      </c>
      <c r="C178" s="1" t="s">
        <v>275</v>
      </c>
      <c r="D178" s="1" t="s">
        <v>25</v>
      </c>
      <c r="E178" s="1" t="s">
        <v>50</v>
      </c>
      <c r="F178" s="1">
        <v>3</v>
      </c>
      <c r="G178" s="1">
        <v>0.1</v>
      </c>
      <c r="H178" s="1" t="s">
        <v>13</v>
      </c>
      <c r="I178" s="1">
        <v>15</v>
      </c>
      <c r="J178">
        <f>_xlfn.XLOOKUP(D178,[1]products!$A$2:$A$11,[1]products!$D$2:$D$11,"Not Found")</f>
        <v>850</v>
      </c>
      <c r="K178">
        <f t="shared" si="6"/>
        <v>2295</v>
      </c>
      <c r="L178">
        <f>_xlfn.XLOOKUP(D178,[1]products!$A$2:$A$11,[1]products!$E$2:$E$11,"Not Found")</f>
        <v>187</v>
      </c>
      <c r="M178">
        <f t="shared" si="7"/>
        <v>1719</v>
      </c>
      <c r="N178" t="str">
        <f>_xlfn.XLOOKUP(C178,[2]customers!$A$2:$A$81,[2]customers!$C$2:$C$81,"Not Found")</f>
        <v>South</v>
      </c>
      <c r="O178" t="str">
        <f>_xlfn.XLOOKUP(D178,[1]products!$A$2:$A$11,[1]products!$C$2:$C$11,"Not Found")</f>
        <v>Laptop</v>
      </c>
      <c r="P178" t="str">
        <f>_xlfn.XLOOKUP(C178,[2]customers!$A$2:$A$81,[2]customers!$E$2:$E$81,"Not Found")</f>
        <v>Corporate</v>
      </c>
      <c r="Q178" t="str">
        <f t="shared" si="8"/>
        <v>March</v>
      </c>
    </row>
    <row r="179" spans="1:17" x14ac:dyDescent="0.3">
      <c r="A179" s="1" t="s">
        <v>276</v>
      </c>
      <c r="B179" s="2">
        <v>45734</v>
      </c>
      <c r="C179" s="1" t="s">
        <v>86</v>
      </c>
      <c r="D179" s="1" t="s">
        <v>25</v>
      </c>
      <c r="E179" s="1" t="s">
        <v>53</v>
      </c>
      <c r="F179" s="1">
        <v>1</v>
      </c>
      <c r="G179" s="1">
        <v>0</v>
      </c>
      <c r="H179" s="1" t="s">
        <v>13</v>
      </c>
      <c r="I179" s="1">
        <v>20</v>
      </c>
      <c r="J179">
        <f>_xlfn.XLOOKUP(D179,[1]products!$A$2:$A$11,[1]products!$D$2:$D$11,"Not Found")</f>
        <v>850</v>
      </c>
      <c r="K179">
        <f t="shared" si="6"/>
        <v>850</v>
      </c>
      <c r="L179">
        <f>_xlfn.XLOOKUP(D179,[1]products!$A$2:$A$11,[1]products!$E$2:$E$11,"Not Found")</f>
        <v>187</v>
      </c>
      <c r="M179">
        <f t="shared" si="7"/>
        <v>643</v>
      </c>
      <c r="N179" t="str">
        <f>_xlfn.XLOOKUP(C179,[2]customers!$A$2:$A$81,[2]customers!$C$2:$C$81,"Not Found")</f>
        <v>West</v>
      </c>
      <c r="O179" t="str">
        <f>_xlfn.XLOOKUP(D179,[1]products!$A$2:$A$11,[1]products!$C$2:$C$11,"Not Found")</f>
        <v>Laptop</v>
      </c>
      <c r="P179" t="str">
        <f>_xlfn.XLOOKUP(C179,[2]customers!$A$2:$A$81,[2]customers!$E$2:$E$81,"Not Found")</f>
        <v>Home Office</v>
      </c>
      <c r="Q179" t="str">
        <f t="shared" si="8"/>
        <v>March</v>
      </c>
    </row>
    <row r="180" spans="1:17" x14ac:dyDescent="0.3">
      <c r="A180" s="1" t="s">
        <v>277</v>
      </c>
      <c r="B180" s="2">
        <v>45779</v>
      </c>
      <c r="C180" s="1" t="s">
        <v>141</v>
      </c>
      <c r="D180" s="1" t="s">
        <v>35</v>
      </c>
      <c r="E180" s="1" t="s">
        <v>12</v>
      </c>
      <c r="F180" s="1">
        <v>4</v>
      </c>
      <c r="G180" s="1">
        <v>0</v>
      </c>
      <c r="H180" s="1" t="s">
        <v>13</v>
      </c>
      <c r="I180" s="1">
        <v>8</v>
      </c>
      <c r="J180">
        <f>_xlfn.XLOOKUP(D180,[1]products!$A$2:$A$11,[1]products!$D$2:$D$11,"Not Found")</f>
        <v>130</v>
      </c>
      <c r="K180">
        <f t="shared" si="6"/>
        <v>520</v>
      </c>
      <c r="L180">
        <f>_xlfn.XLOOKUP(D180,[1]products!$A$2:$A$11,[1]products!$E$2:$E$11,"Not Found")</f>
        <v>33.799999999999997</v>
      </c>
      <c r="M180">
        <f t="shared" si="7"/>
        <v>376.8</v>
      </c>
      <c r="N180" t="str">
        <f>_xlfn.XLOOKUP(C180,[2]customers!$A$2:$A$81,[2]customers!$C$2:$C$81,"Not Found")</f>
        <v>South</v>
      </c>
      <c r="O180" t="str">
        <f>_xlfn.XLOOKUP(D180,[1]products!$A$2:$A$11,[1]products!$C$2:$C$11,"Not Found")</f>
        <v>Air Fryer</v>
      </c>
      <c r="P180" t="str">
        <f>_xlfn.XLOOKUP(C180,[2]customers!$A$2:$A$81,[2]customers!$E$2:$E$81,"Not Found")</f>
        <v>Home Office</v>
      </c>
      <c r="Q180" t="str">
        <f t="shared" si="8"/>
        <v>May</v>
      </c>
    </row>
    <row r="181" spans="1:17" x14ac:dyDescent="0.3">
      <c r="A181" s="1" t="s">
        <v>278</v>
      </c>
      <c r="B181" s="2">
        <v>45714</v>
      </c>
      <c r="C181" s="1" t="s">
        <v>136</v>
      </c>
      <c r="D181" s="1" t="s">
        <v>11</v>
      </c>
      <c r="E181" s="1" t="s">
        <v>50</v>
      </c>
      <c r="F181" s="1">
        <v>4</v>
      </c>
      <c r="G181" s="1">
        <v>0.15</v>
      </c>
      <c r="H181" s="1" t="s">
        <v>13</v>
      </c>
      <c r="I181" s="1">
        <v>18</v>
      </c>
      <c r="J181">
        <f>_xlfn.XLOOKUP(D181,[1]products!$A$2:$A$11,[1]products!$D$2:$D$11,"Not Found")</f>
        <v>180</v>
      </c>
      <c r="K181">
        <f t="shared" si="6"/>
        <v>612</v>
      </c>
      <c r="L181">
        <f>_xlfn.XLOOKUP(D181,[1]products!$A$2:$A$11,[1]products!$E$2:$E$11,"Not Found")</f>
        <v>54</v>
      </c>
      <c r="M181">
        <f t="shared" si="7"/>
        <v>378</v>
      </c>
      <c r="N181" t="str">
        <f>_xlfn.XLOOKUP(C181,[2]customers!$A$2:$A$81,[2]customers!$C$2:$C$81,"Not Found")</f>
        <v>East</v>
      </c>
      <c r="O181" t="str">
        <f>_xlfn.XLOOKUP(D181,[1]products!$A$2:$A$11,[1]products!$C$2:$C$11,"Not Found")</f>
        <v>Office Chair</v>
      </c>
      <c r="P181" t="str">
        <f>_xlfn.XLOOKUP(C181,[2]customers!$A$2:$A$81,[2]customers!$E$2:$E$81,"Not Found")</f>
        <v>Consumer</v>
      </c>
      <c r="Q181" t="str">
        <f t="shared" si="8"/>
        <v>February</v>
      </c>
    </row>
    <row r="182" spans="1:17" x14ac:dyDescent="0.3">
      <c r="A182" s="1" t="s">
        <v>279</v>
      </c>
      <c r="B182" s="2">
        <v>45731</v>
      </c>
      <c r="C182" s="1" t="s">
        <v>18</v>
      </c>
      <c r="D182" s="1" t="s">
        <v>25</v>
      </c>
      <c r="E182" s="1" t="s">
        <v>12</v>
      </c>
      <c r="F182" s="1">
        <v>5</v>
      </c>
      <c r="G182" s="1">
        <v>0.15</v>
      </c>
      <c r="H182" s="1" t="s">
        <v>13</v>
      </c>
      <c r="I182" s="1">
        <v>15</v>
      </c>
      <c r="J182">
        <f>_xlfn.XLOOKUP(D182,[1]products!$A$2:$A$11,[1]products!$D$2:$D$11,"Not Found")</f>
        <v>850</v>
      </c>
      <c r="K182">
        <f t="shared" si="6"/>
        <v>3612.5</v>
      </c>
      <c r="L182">
        <f>_xlfn.XLOOKUP(D182,[1]products!$A$2:$A$11,[1]products!$E$2:$E$11,"Not Found")</f>
        <v>187</v>
      </c>
      <c r="M182">
        <f t="shared" si="7"/>
        <v>2662.5</v>
      </c>
      <c r="N182" t="str">
        <f>_xlfn.XLOOKUP(C182,[2]customers!$A$2:$A$81,[2]customers!$C$2:$C$81,"Not Found")</f>
        <v>West</v>
      </c>
      <c r="O182" t="str">
        <f>_xlfn.XLOOKUP(D182,[1]products!$A$2:$A$11,[1]products!$C$2:$C$11,"Not Found")</f>
        <v>Laptop</v>
      </c>
      <c r="P182" t="str">
        <f>_xlfn.XLOOKUP(C182,[2]customers!$A$2:$A$81,[2]customers!$E$2:$E$81,"Not Found")</f>
        <v>Corporate</v>
      </c>
      <c r="Q182" t="str">
        <f t="shared" si="8"/>
        <v>March</v>
      </c>
    </row>
    <row r="183" spans="1:17" x14ac:dyDescent="0.3">
      <c r="A183" s="1" t="s">
        <v>280</v>
      </c>
      <c r="B183" s="2">
        <v>45753</v>
      </c>
      <c r="C183" s="1" t="s">
        <v>228</v>
      </c>
      <c r="D183" s="1" t="s">
        <v>71</v>
      </c>
      <c r="E183" s="1" t="s">
        <v>16</v>
      </c>
      <c r="F183" s="1">
        <v>3</v>
      </c>
      <c r="G183" s="1">
        <v>0</v>
      </c>
      <c r="H183" s="1" t="s">
        <v>13</v>
      </c>
      <c r="I183" s="1">
        <v>18</v>
      </c>
      <c r="J183">
        <f>_xlfn.XLOOKUP(D183,[1]products!$A$2:$A$11,[1]products!$D$2:$D$11,"Not Found")</f>
        <v>240</v>
      </c>
      <c r="K183">
        <f t="shared" si="6"/>
        <v>720</v>
      </c>
      <c r="L183">
        <f>_xlfn.XLOOKUP(D183,[1]products!$A$2:$A$11,[1]products!$E$2:$E$11,"Not Found")</f>
        <v>55.2</v>
      </c>
      <c r="M183">
        <f t="shared" si="7"/>
        <v>536.4</v>
      </c>
      <c r="N183" t="str">
        <f>_xlfn.XLOOKUP(C183,[2]customers!$A$2:$A$81,[2]customers!$C$2:$C$81,"Not Found")</f>
        <v>West</v>
      </c>
      <c r="O183" t="str">
        <f>_xlfn.XLOOKUP(D183,[1]products!$A$2:$A$11,[1]products!$C$2:$C$11,"Not Found")</f>
        <v>Vacuum Cleaner</v>
      </c>
      <c r="P183" t="str">
        <f>_xlfn.XLOOKUP(C183,[2]customers!$A$2:$A$81,[2]customers!$E$2:$E$81,"Not Found")</f>
        <v>Home Office</v>
      </c>
      <c r="Q183" t="str">
        <f t="shared" si="8"/>
        <v>April</v>
      </c>
    </row>
    <row r="184" spans="1:17" x14ac:dyDescent="0.3">
      <c r="A184" s="1" t="s">
        <v>281</v>
      </c>
      <c r="B184" s="2">
        <v>45917</v>
      </c>
      <c r="C184" s="1" t="s">
        <v>40</v>
      </c>
      <c r="D184" s="1" t="s">
        <v>15</v>
      </c>
      <c r="E184" s="1" t="s">
        <v>53</v>
      </c>
      <c r="F184" s="1">
        <v>5</v>
      </c>
      <c r="G184" s="1">
        <v>0.15</v>
      </c>
      <c r="H184" s="1" t="s">
        <v>13</v>
      </c>
      <c r="I184" s="1">
        <v>8</v>
      </c>
      <c r="J184">
        <f>_xlfn.XLOOKUP(D184,[1]products!$A$2:$A$11,[1]products!$D$2:$D$11,"Not Found")</f>
        <v>600</v>
      </c>
      <c r="K184">
        <f t="shared" si="6"/>
        <v>2550</v>
      </c>
      <c r="L184">
        <f>_xlfn.XLOOKUP(D184,[1]products!$A$2:$A$11,[1]products!$E$2:$E$11,"Not Found")</f>
        <v>120</v>
      </c>
      <c r="M184">
        <f t="shared" si="7"/>
        <v>1942</v>
      </c>
      <c r="N184" t="str">
        <f>_xlfn.XLOOKUP(C184,[2]customers!$A$2:$A$81,[2]customers!$C$2:$C$81,"Not Found")</f>
        <v>North</v>
      </c>
      <c r="O184" t="str">
        <f>_xlfn.XLOOKUP(D184,[1]products!$A$2:$A$11,[1]products!$C$2:$C$11,"Not Found")</f>
        <v>Smartphone</v>
      </c>
      <c r="P184" t="str">
        <f>_xlfn.XLOOKUP(C184,[2]customers!$A$2:$A$81,[2]customers!$E$2:$E$81,"Not Found")</f>
        <v>Home Office</v>
      </c>
      <c r="Q184" t="str">
        <f t="shared" si="8"/>
        <v>September</v>
      </c>
    </row>
    <row r="185" spans="1:17" x14ac:dyDescent="0.3">
      <c r="A185" s="1" t="s">
        <v>282</v>
      </c>
      <c r="B185" s="2">
        <v>45787</v>
      </c>
      <c r="C185" s="1" t="s">
        <v>81</v>
      </c>
      <c r="D185" s="1" t="s">
        <v>79</v>
      </c>
      <c r="E185" s="1" t="s">
        <v>16</v>
      </c>
      <c r="F185" s="1">
        <v>1</v>
      </c>
      <c r="G185" s="1">
        <v>0.1</v>
      </c>
      <c r="H185" s="1" t="s">
        <v>62</v>
      </c>
      <c r="I185" s="1">
        <v>12</v>
      </c>
      <c r="J185">
        <f>_xlfn.XLOOKUP(D185,[1]products!$A$2:$A$11,[1]products!$D$2:$D$11,"Not Found")</f>
        <v>70</v>
      </c>
      <c r="K185">
        <f t="shared" si="6"/>
        <v>63</v>
      </c>
      <c r="L185">
        <f>_xlfn.XLOOKUP(D185,[1]products!$A$2:$A$11,[1]products!$E$2:$E$11,"Not Found")</f>
        <v>22.4</v>
      </c>
      <c r="M185">
        <f t="shared" si="7"/>
        <v>28.6</v>
      </c>
      <c r="N185" t="str">
        <f>_xlfn.XLOOKUP(C185,[2]customers!$A$2:$A$81,[2]customers!$C$2:$C$81,"Not Found")</f>
        <v>West</v>
      </c>
      <c r="O185" t="str">
        <f>_xlfn.XLOOKUP(D185,[1]products!$A$2:$A$11,[1]products!$C$2:$C$11,"Not Found")</f>
        <v>Blender</v>
      </c>
      <c r="P185" t="str">
        <f>_xlfn.XLOOKUP(C185,[2]customers!$A$2:$A$81,[2]customers!$E$2:$E$81,"Not Found")</f>
        <v>Consumer</v>
      </c>
      <c r="Q185" t="str">
        <f t="shared" si="8"/>
        <v>May</v>
      </c>
    </row>
    <row r="186" spans="1:17" x14ac:dyDescent="0.3">
      <c r="A186" s="1" t="s">
        <v>283</v>
      </c>
      <c r="B186" s="2">
        <v>45828</v>
      </c>
      <c r="C186" s="1" t="s">
        <v>108</v>
      </c>
      <c r="D186" s="1" t="s">
        <v>38</v>
      </c>
      <c r="E186" s="1" t="s">
        <v>26</v>
      </c>
      <c r="F186" s="1">
        <v>2</v>
      </c>
      <c r="G186" s="1">
        <v>0</v>
      </c>
      <c r="H186" s="1" t="s">
        <v>13</v>
      </c>
      <c r="I186" s="1">
        <v>8</v>
      </c>
      <c r="J186">
        <f>_xlfn.XLOOKUP(D186,[1]products!$A$2:$A$11,[1]products!$D$2:$D$11,"Not Found")</f>
        <v>210</v>
      </c>
      <c r="K186">
        <f t="shared" si="6"/>
        <v>420</v>
      </c>
      <c r="L186">
        <f>_xlfn.XLOOKUP(D186,[1]products!$A$2:$A$11,[1]products!$E$2:$E$11,"Not Found")</f>
        <v>52.5</v>
      </c>
      <c r="M186">
        <f t="shared" si="7"/>
        <v>307</v>
      </c>
      <c r="N186" t="str">
        <f>_xlfn.XLOOKUP(C186,[2]customers!$A$2:$A$81,[2]customers!$C$2:$C$81,"Not Found")</f>
        <v>East</v>
      </c>
      <c r="O186" t="str">
        <f>_xlfn.XLOOKUP(D186,[1]products!$A$2:$A$11,[1]products!$C$2:$C$11,"Not Found")</f>
        <v>Bookshelf</v>
      </c>
      <c r="P186" t="str">
        <f>_xlfn.XLOOKUP(C186,[2]customers!$A$2:$A$81,[2]customers!$E$2:$E$81,"Not Found")</f>
        <v>Consumer</v>
      </c>
      <c r="Q186" t="str">
        <f t="shared" si="8"/>
        <v>June</v>
      </c>
    </row>
    <row r="187" spans="1:17" x14ac:dyDescent="0.3">
      <c r="A187" s="1" t="s">
        <v>284</v>
      </c>
      <c r="B187" s="2">
        <v>46008</v>
      </c>
      <c r="C187" s="1" t="s">
        <v>130</v>
      </c>
      <c r="D187" s="1" t="s">
        <v>35</v>
      </c>
      <c r="E187" s="1" t="s">
        <v>50</v>
      </c>
      <c r="F187" s="1">
        <v>3</v>
      </c>
      <c r="G187" s="1">
        <v>0</v>
      </c>
      <c r="H187" s="1" t="s">
        <v>22</v>
      </c>
      <c r="I187" s="1">
        <v>20</v>
      </c>
      <c r="J187">
        <f>_xlfn.XLOOKUP(D187,[1]products!$A$2:$A$11,[1]products!$D$2:$D$11,"Not Found")</f>
        <v>130</v>
      </c>
      <c r="K187">
        <f t="shared" si="6"/>
        <v>390</v>
      </c>
      <c r="L187">
        <f>_xlfn.XLOOKUP(D187,[1]products!$A$2:$A$11,[1]products!$E$2:$E$11,"Not Found")</f>
        <v>33.799999999999997</v>
      </c>
      <c r="M187">
        <f t="shared" si="7"/>
        <v>268.60000000000002</v>
      </c>
      <c r="N187" t="str">
        <f>_xlfn.XLOOKUP(C187,[2]customers!$A$2:$A$81,[2]customers!$C$2:$C$81,"Not Found")</f>
        <v>North</v>
      </c>
      <c r="O187" t="str">
        <f>_xlfn.XLOOKUP(D187,[1]products!$A$2:$A$11,[1]products!$C$2:$C$11,"Not Found")</f>
        <v>Air Fryer</v>
      </c>
      <c r="P187" t="str">
        <f>_xlfn.XLOOKUP(C187,[2]customers!$A$2:$A$81,[2]customers!$E$2:$E$81,"Not Found")</f>
        <v>Consumer</v>
      </c>
      <c r="Q187" t="str">
        <f t="shared" si="8"/>
        <v>December</v>
      </c>
    </row>
    <row r="188" spans="1:17" x14ac:dyDescent="0.3">
      <c r="A188" s="1" t="s">
        <v>285</v>
      </c>
      <c r="B188" s="2">
        <v>45892</v>
      </c>
      <c r="C188" s="1" t="s">
        <v>119</v>
      </c>
      <c r="D188" s="1" t="s">
        <v>74</v>
      </c>
      <c r="E188" s="1" t="s">
        <v>16</v>
      </c>
      <c r="F188" s="1">
        <v>2</v>
      </c>
      <c r="G188" s="1">
        <v>0</v>
      </c>
      <c r="H188" s="1" t="s">
        <v>13</v>
      </c>
      <c r="I188" s="1">
        <v>12</v>
      </c>
      <c r="J188">
        <f>_xlfn.XLOOKUP(D188,[1]products!$A$2:$A$11,[1]products!$D$2:$D$11,"Not Found")</f>
        <v>90</v>
      </c>
      <c r="K188">
        <f t="shared" si="6"/>
        <v>180</v>
      </c>
      <c r="L188">
        <f>_xlfn.XLOOKUP(D188,[1]products!$A$2:$A$11,[1]products!$E$2:$E$11,"Not Found")</f>
        <v>25.2</v>
      </c>
      <c r="M188">
        <f t="shared" si="7"/>
        <v>117.6</v>
      </c>
      <c r="N188" t="str">
        <f>_xlfn.XLOOKUP(C188,[2]customers!$A$2:$A$81,[2]customers!$C$2:$C$81,"Not Found")</f>
        <v>West</v>
      </c>
      <c r="O188" t="str">
        <f>_xlfn.XLOOKUP(D188,[1]products!$A$2:$A$11,[1]products!$C$2:$C$11,"Not Found")</f>
        <v>Headphones</v>
      </c>
      <c r="P188" t="str">
        <f>_xlfn.XLOOKUP(C188,[2]customers!$A$2:$A$81,[2]customers!$E$2:$E$81,"Not Found")</f>
        <v>Consumer</v>
      </c>
      <c r="Q188" t="str">
        <f t="shared" si="8"/>
        <v>August</v>
      </c>
    </row>
    <row r="189" spans="1:17" x14ac:dyDescent="0.3">
      <c r="A189" s="1" t="s">
        <v>286</v>
      </c>
      <c r="B189" s="2">
        <v>45816</v>
      </c>
      <c r="C189" s="1" t="s">
        <v>61</v>
      </c>
      <c r="D189" s="1" t="s">
        <v>25</v>
      </c>
      <c r="E189" s="1" t="s">
        <v>53</v>
      </c>
      <c r="F189" s="1">
        <v>2</v>
      </c>
      <c r="G189" s="1">
        <v>0</v>
      </c>
      <c r="H189" s="1" t="s">
        <v>13</v>
      </c>
      <c r="I189" s="1">
        <v>15</v>
      </c>
      <c r="J189">
        <f>_xlfn.XLOOKUP(D189,[1]products!$A$2:$A$11,[1]products!$D$2:$D$11,"Not Found")</f>
        <v>850</v>
      </c>
      <c r="K189">
        <f t="shared" si="6"/>
        <v>1700</v>
      </c>
      <c r="L189">
        <f>_xlfn.XLOOKUP(D189,[1]products!$A$2:$A$11,[1]products!$E$2:$E$11,"Not Found")</f>
        <v>187</v>
      </c>
      <c r="M189">
        <f t="shared" si="7"/>
        <v>1311</v>
      </c>
      <c r="N189" t="str">
        <f>_xlfn.XLOOKUP(C189,[2]customers!$A$2:$A$81,[2]customers!$C$2:$C$81,"Not Found")</f>
        <v>North</v>
      </c>
      <c r="O189" t="str">
        <f>_xlfn.XLOOKUP(D189,[1]products!$A$2:$A$11,[1]products!$C$2:$C$11,"Not Found")</f>
        <v>Laptop</v>
      </c>
      <c r="P189" t="str">
        <f>_xlfn.XLOOKUP(C189,[2]customers!$A$2:$A$81,[2]customers!$E$2:$E$81,"Not Found")</f>
        <v>Corporate</v>
      </c>
      <c r="Q189" t="str">
        <f t="shared" si="8"/>
        <v>June</v>
      </c>
    </row>
    <row r="190" spans="1:17" x14ac:dyDescent="0.3">
      <c r="A190" s="1" t="s">
        <v>287</v>
      </c>
      <c r="B190" s="2">
        <v>45755</v>
      </c>
      <c r="C190" s="1" t="s">
        <v>262</v>
      </c>
      <c r="D190" s="1" t="s">
        <v>79</v>
      </c>
      <c r="E190" s="1" t="s">
        <v>12</v>
      </c>
      <c r="F190" s="1">
        <v>3</v>
      </c>
      <c r="G190" s="1">
        <v>0</v>
      </c>
      <c r="H190" s="1" t="s">
        <v>13</v>
      </c>
      <c r="I190" s="1">
        <v>12</v>
      </c>
      <c r="J190">
        <f>_xlfn.XLOOKUP(D190,[1]products!$A$2:$A$11,[1]products!$D$2:$D$11,"Not Found")</f>
        <v>70</v>
      </c>
      <c r="K190">
        <f t="shared" si="6"/>
        <v>210</v>
      </c>
      <c r="L190">
        <f>_xlfn.XLOOKUP(D190,[1]products!$A$2:$A$11,[1]products!$E$2:$E$11,"Not Found")</f>
        <v>22.4</v>
      </c>
      <c r="M190">
        <f t="shared" si="7"/>
        <v>130.80000000000001</v>
      </c>
      <c r="N190" t="str">
        <f>_xlfn.XLOOKUP(C190,[2]customers!$A$2:$A$81,[2]customers!$C$2:$C$81,"Not Found")</f>
        <v>East</v>
      </c>
      <c r="O190" t="str">
        <f>_xlfn.XLOOKUP(D190,[1]products!$A$2:$A$11,[1]products!$C$2:$C$11,"Not Found")</f>
        <v>Blender</v>
      </c>
      <c r="P190" t="str">
        <f>_xlfn.XLOOKUP(C190,[2]customers!$A$2:$A$81,[2]customers!$E$2:$E$81,"Not Found")</f>
        <v>Home Office</v>
      </c>
      <c r="Q190" t="str">
        <f t="shared" si="8"/>
        <v>April</v>
      </c>
    </row>
    <row r="191" spans="1:17" x14ac:dyDescent="0.3">
      <c r="A191" s="1" t="s">
        <v>288</v>
      </c>
      <c r="B191" s="2">
        <v>45881</v>
      </c>
      <c r="C191" s="1" t="s">
        <v>136</v>
      </c>
      <c r="D191" s="1" t="s">
        <v>38</v>
      </c>
      <c r="E191" s="1" t="s">
        <v>50</v>
      </c>
      <c r="F191" s="1">
        <v>3</v>
      </c>
      <c r="G191" s="1">
        <v>0</v>
      </c>
      <c r="H191" s="1" t="s">
        <v>22</v>
      </c>
      <c r="I191" s="1">
        <v>20</v>
      </c>
      <c r="J191">
        <f>_xlfn.XLOOKUP(D191,[1]products!$A$2:$A$11,[1]products!$D$2:$D$11,"Not Found")</f>
        <v>210</v>
      </c>
      <c r="K191">
        <f t="shared" si="6"/>
        <v>630</v>
      </c>
      <c r="L191">
        <f>_xlfn.XLOOKUP(D191,[1]products!$A$2:$A$11,[1]products!$E$2:$E$11,"Not Found")</f>
        <v>52.5</v>
      </c>
      <c r="M191">
        <f t="shared" si="7"/>
        <v>452.5</v>
      </c>
      <c r="N191" t="str">
        <f>_xlfn.XLOOKUP(C191,[2]customers!$A$2:$A$81,[2]customers!$C$2:$C$81,"Not Found")</f>
        <v>East</v>
      </c>
      <c r="O191" t="str">
        <f>_xlfn.XLOOKUP(D191,[1]products!$A$2:$A$11,[1]products!$C$2:$C$11,"Not Found")</f>
        <v>Bookshelf</v>
      </c>
      <c r="P191" t="str">
        <f>_xlfn.XLOOKUP(C191,[2]customers!$A$2:$A$81,[2]customers!$E$2:$E$81,"Not Found")</f>
        <v>Consumer</v>
      </c>
      <c r="Q191" t="str">
        <f t="shared" si="8"/>
        <v>August</v>
      </c>
    </row>
    <row r="192" spans="1:17" x14ac:dyDescent="0.3">
      <c r="A192" s="1" t="s">
        <v>289</v>
      </c>
      <c r="B192" s="2">
        <v>45912</v>
      </c>
      <c r="C192" s="1" t="s">
        <v>34</v>
      </c>
      <c r="D192" s="1" t="s">
        <v>43</v>
      </c>
      <c r="E192" s="1" t="s">
        <v>12</v>
      </c>
      <c r="F192" s="1">
        <v>3</v>
      </c>
      <c r="G192" s="1">
        <v>0</v>
      </c>
      <c r="H192" s="1" t="s">
        <v>13</v>
      </c>
      <c r="I192" s="1">
        <v>18</v>
      </c>
      <c r="J192">
        <f>_xlfn.XLOOKUP(D192,[1]products!$A$2:$A$11,[1]products!$D$2:$D$11,"Not Found")</f>
        <v>160</v>
      </c>
      <c r="K192">
        <f t="shared" si="6"/>
        <v>480</v>
      </c>
      <c r="L192">
        <f>_xlfn.XLOOKUP(D192,[1]products!$A$2:$A$11,[1]products!$E$2:$E$11,"Not Found")</f>
        <v>38.4</v>
      </c>
      <c r="M192">
        <f t="shared" si="7"/>
        <v>346.8</v>
      </c>
      <c r="N192" t="str">
        <f>_xlfn.XLOOKUP(C192,[2]customers!$A$2:$A$81,[2]customers!$C$2:$C$81,"Not Found")</f>
        <v>North</v>
      </c>
      <c r="O192" t="str">
        <f>_xlfn.XLOOKUP(D192,[1]products!$A$2:$A$11,[1]products!$C$2:$C$11,"Not Found")</f>
        <v>Microwave</v>
      </c>
      <c r="P192" t="str">
        <f>_xlfn.XLOOKUP(C192,[2]customers!$A$2:$A$81,[2]customers!$E$2:$E$81,"Not Found")</f>
        <v>Corporate</v>
      </c>
      <c r="Q192" t="str">
        <f t="shared" si="8"/>
        <v>September</v>
      </c>
    </row>
    <row r="193" spans="1:17" x14ac:dyDescent="0.3">
      <c r="A193" s="1" t="s">
        <v>290</v>
      </c>
      <c r="B193" s="2">
        <v>45750</v>
      </c>
      <c r="C193" s="1" t="s">
        <v>226</v>
      </c>
      <c r="D193" s="1" t="s">
        <v>15</v>
      </c>
      <c r="E193" s="1" t="s">
        <v>53</v>
      </c>
      <c r="F193" s="1">
        <v>4</v>
      </c>
      <c r="G193" s="1">
        <v>0</v>
      </c>
      <c r="H193" s="1" t="s">
        <v>13</v>
      </c>
      <c r="I193" s="1">
        <v>12</v>
      </c>
      <c r="J193">
        <f>_xlfn.XLOOKUP(D193,[1]products!$A$2:$A$11,[1]products!$D$2:$D$11,"Not Found")</f>
        <v>600</v>
      </c>
      <c r="K193">
        <f t="shared" si="6"/>
        <v>2400</v>
      </c>
      <c r="L193">
        <f>_xlfn.XLOOKUP(D193,[1]products!$A$2:$A$11,[1]products!$E$2:$E$11,"Not Found")</f>
        <v>120</v>
      </c>
      <c r="M193">
        <f t="shared" si="7"/>
        <v>1908</v>
      </c>
      <c r="N193" t="str">
        <f>_xlfn.XLOOKUP(C193,[2]customers!$A$2:$A$81,[2]customers!$C$2:$C$81,"Not Found")</f>
        <v>West</v>
      </c>
      <c r="O193" t="str">
        <f>_xlfn.XLOOKUP(D193,[1]products!$A$2:$A$11,[1]products!$C$2:$C$11,"Not Found")</f>
        <v>Smartphone</v>
      </c>
      <c r="P193" t="str">
        <f>_xlfn.XLOOKUP(C193,[2]customers!$A$2:$A$81,[2]customers!$E$2:$E$81,"Not Found")</f>
        <v>Home Office</v>
      </c>
      <c r="Q193" t="str">
        <f t="shared" si="8"/>
        <v>April</v>
      </c>
    </row>
    <row r="194" spans="1:17" x14ac:dyDescent="0.3">
      <c r="A194" s="1" t="s">
        <v>291</v>
      </c>
      <c r="B194" s="2">
        <v>45814</v>
      </c>
      <c r="C194" s="1" t="s">
        <v>156</v>
      </c>
      <c r="D194" s="1" t="s">
        <v>15</v>
      </c>
      <c r="E194" s="1" t="s">
        <v>50</v>
      </c>
      <c r="F194" s="1">
        <v>1</v>
      </c>
      <c r="G194" s="1">
        <v>0.05</v>
      </c>
      <c r="H194" s="1" t="s">
        <v>13</v>
      </c>
      <c r="I194" s="1">
        <v>18</v>
      </c>
      <c r="J194">
        <f>_xlfn.XLOOKUP(D194,[1]products!$A$2:$A$11,[1]products!$D$2:$D$11,"Not Found")</f>
        <v>600</v>
      </c>
      <c r="K194">
        <f t="shared" si="6"/>
        <v>570</v>
      </c>
      <c r="L194">
        <f>_xlfn.XLOOKUP(D194,[1]products!$A$2:$A$11,[1]products!$E$2:$E$11,"Not Found")</f>
        <v>120</v>
      </c>
      <c r="M194">
        <f t="shared" si="7"/>
        <v>432</v>
      </c>
      <c r="N194" t="str">
        <f>_xlfn.XLOOKUP(C194,[2]customers!$A$2:$A$81,[2]customers!$C$2:$C$81,"Not Found")</f>
        <v>West</v>
      </c>
      <c r="O194" t="str">
        <f>_xlfn.XLOOKUP(D194,[1]products!$A$2:$A$11,[1]products!$C$2:$C$11,"Not Found")</f>
        <v>Smartphone</v>
      </c>
      <c r="P194" t="str">
        <f>_xlfn.XLOOKUP(C194,[2]customers!$A$2:$A$81,[2]customers!$E$2:$E$81,"Not Found")</f>
        <v>Corporate</v>
      </c>
      <c r="Q194" t="str">
        <f t="shared" si="8"/>
        <v>June</v>
      </c>
    </row>
    <row r="195" spans="1:17" x14ac:dyDescent="0.3">
      <c r="A195" s="1" t="s">
        <v>292</v>
      </c>
      <c r="B195" s="2">
        <v>45838</v>
      </c>
      <c r="C195" s="1" t="s">
        <v>32</v>
      </c>
      <c r="D195" s="1" t="s">
        <v>74</v>
      </c>
      <c r="E195" s="1" t="s">
        <v>53</v>
      </c>
      <c r="F195" s="1">
        <v>4</v>
      </c>
      <c r="G195" s="1">
        <v>0.05</v>
      </c>
      <c r="H195" s="1" t="s">
        <v>13</v>
      </c>
      <c r="I195" s="1">
        <v>15</v>
      </c>
      <c r="J195">
        <f>_xlfn.XLOOKUP(D195,[1]products!$A$2:$A$11,[1]products!$D$2:$D$11,"Not Found")</f>
        <v>90</v>
      </c>
      <c r="K195">
        <f t="shared" ref="K195:K258" si="9">F195*J195*(1-G195 )</f>
        <v>342</v>
      </c>
      <c r="L195">
        <f>_xlfn.XLOOKUP(D195,[1]products!$A$2:$A$11,[1]products!$E$2:$E$11,"Not Found")</f>
        <v>25.2</v>
      </c>
      <c r="M195">
        <f t="shared" ref="M195:M258" si="10">K195-(F195*L195)-I195</f>
        <v>226.2</v>
      </c>
      <c r="N195" t="str">
        <f>_xlfn.XLOOKUP(C195,[2]customers!$A$2:$A$81,[2]customers!$C$2:$C$81,"Not Found")</f>
        <v>West</v>
      </c>
      <c r="O195" t="str">
        <f>_xlfn.XLOOKUP(D195,[1]products!$A$2:$A$11,[1]products!$C$2:$C$11,"Not Found")</f>
        <v>Headphones</v>
      </c>
      <c r="P195" t="str">
        <f>_xlfn.XLOOKUP(C195,[2]customers!$A$2:$A$81,[2]customers!$E$2:$E$81,"Not Found")</f>
        <v>Consumer</v>
      </c>
      <c r="Q195" t="str">
        <f t="shared" ref="Q195:Q258" si="11">TEXT(B195,"mmmm")</f>
        <v>June</v>
      </c>
    </row>
    <row r="196" spans="1:17" x14ac:dyDescent="0.3">
      <c r="A196" s="1" t="s">
        <v>293</v>
      </c>
      <c r="B196" s="2">
        <v>46005</v>
      </c>
      <c r="C196" s="1" t="s">
        <v>52</v>
      </c>
      <c r="D196" s="1" t="s">
        <v>25</v>
      </c>
      <c r="E196" s="1" t="s">
        <v>26</v>
      </c>
      <c r="F196" s="1">
        <v>1</v>
      </c>
      <c r="G196" s="1">
        <v>0.1</v>
      </c>
      <c r="H196" s="1" t="s">
        <v>13</v>
      </c>
      <c r="I196" s="1">
        <v>8</v>
      </c>
      <c r="J196">
        <f>_xlfn.XLOOKUP(D196,[1]products!$A$2:$A$11,[1]products!$D$2:$D$11,"Not Found")</f>
        <v>850</v>
      </c>
      <c r="K196">
        <f t="shared" si="9"/>
        <v>765</v>
      </c>
      <c r="L196">
        <f>_xlfn.XLOOKUP(D196,[1]products!$A$2:$A$11,[1]products!$E$2:$E$11,"Not Found")</f>
        <v>187</v>
      </c>
      <c r="M196">
        <f t="shared" si="10"/>
        <v>570</v>
      </c>
      <c r="N196" t="str">
        <f>_xlfn.XLOOKUP(C196,[2]customers!$A$2:$A$81,[2]customers!$C$2:$C$81,"Not Found")</f>
        <v>East</v>
      </c>
      <c r="O196" t="str">
        <f>_xlfn.XLOOKUP(D196,[1]products!$A$2:$A$11,[1]products!$C$2:$C$11,"Not Found")</f>
        <v>Laptop</v>
      </c>
      <c r="P196" t="str">
        <f>_xlfn.XLOOKUP(C196,[2]customers!$A$2:$A$81,[2]customers!$E$2:$E$81,"Not Found")</f>
        <v>Corporate</v>
      </c>
      <c r="Q196" t="str">
        <f t="shared" si="11"/>
        <v>December</v>
      </c>
    </row>
    <row r="197" spans="1:17" x14ac:dyDescent="0.3">
      <c r="A197" s="1" t="s">
        <v>294</v>
      </c>
      <c r="B197" s="2">
        <v>45778</v>
      </c>
      <c r="C197" s="1" t="s">
        <v>176</v>
      </c>
      <c r="D197" s="1" t="s">
        <v>71</v>
      </c>
      <c r="E197" s="1" t="s">
        <v>12</v>
      </c>
      <c r="F197" s="1">
        <v>4</v>
      </c>
      <c r="G197" s="1">
        <v>0</v>
      </c>
      <c r="H197" s="1" t="s">
        <v>13</v>
      </c>
      <c r="I197" s="1">
        <v>12</v>
      </c>
      <c r="J197">
        <f>_xlfn.XLOOKUP(D197,[1]products!$A$2:$A$11,[1]products!$D$2:$D$11,"Not Found")</f>
        <v>240</v>
      </c>
      <c r="K197">
        <f t="shared" si="9"/>
        <v>960</v>
      </c>
      <c r="L197">
        <f>_xlfn.XLOOKUP(D197,[1]products!$A$2:$A$11,[1]products!$E$2:$E$11,"Not Found")</f>
        <v>55.2</v>
      </c>
      <c r="M197">
        <f t="shared" si="10"/>
        <v>727.2</v>
      </c>
      <c r="N197" t="str">
        <f>_xlfn.XLOOKUP(C197,[2]customers!$A$2:$A$81,[2]customers!$C$2:$C$81,"Not Found")</f>
        <v>West</v>
      </c>
      <c r="O197" t="str">
        <f>_xlfn.XLOOKUP(D197,[1]products!$A$2:$A$11,[1]products!$C$2:$C$11,"Not Found")</f>
        <v>Vacuum Cleaner</v>
      </c>
      <c r="P197" t="str">
        <f>_xlfn.XLOOKUP(C197,[2]customers!$A$2:$A$81,[2]customers!$E$2:$E$81,"Not Found")</f>
        <v>Home Office</v>
      </c>
      <c r="Q197" t="str">
        <f t="shared" si="11"/>
        <v>May</v>
      </c>
    </row>
    <row r="198" spans="1:17" x14ac:dyDescent="0.3">
      <c r="A198" s="1" t="s">
        <v>295</v>
      </c>
      <c r="B198" s="2">
        <v>45888</v>
      </c>
      <c r="C198" s="1" t="s">
        <v>81</v>
      </c>
      <c r="D198" s="1" t="s">
        <v>71</v>
      </c>
      <c r="E198" s="1" t="s">
        <v>12</v>
      </c>
      <c r="F198" s="1">
        <v>1</v>
      </c>
      <c r="G198" s="1">
        <v>0.15</v>
      </c>
      <c r="H198" s="1" t="s">
        <v>13</v>
      </c>
      <c r="I198" s="1">
        <v>12</v>
      </c>
      <c r="J198">
        <f>_xlfn.XLOOKUP(D198,[1]products!$A$2:$A$11,[1]products!$D$2:$D$11,"Not Found")</f>
        <v>240</v>
      </c>
      <c r="K198">
        <f t="shared" si="9"/>
        <v>204</v>
      </c>
      <c r="L198">
        <f>_xlfn.XLOOKUP(D198,[1]products!$A$2:$A$11,[1]products!$E$2:$E$11,"Not Found")</f>
        <v>55.2</v>
      </c>
      <c r="M198">
        <f t="shared" si="10"/>
        <v>136.80000000000001</v>
      </c>
      <c r="N198" t="str">
        <f>_xlfn.XLOOKUP(C198,[2]customers!$A$2:$A$81,[2]customers!$C$2:$C$81,"Not Found")</f>
        <v>West</v>
      </c>
      <c r="O198" t="str">
        <f>_xlfn.XLOOKUP(D198,[1]products!$A$2:$A$11,[1]products!$C$2:$C$11,"Not Found")</f>
        <v>Vacuum Cleaner</v>
      </c>
      <c r="P198" t="str">
        <f>_xlfn.XLOOKUP(C198,[2]customers!$A$2:$A$81,[2]customers!$E$2:$E$81,"Not Found")</f>
        <v>Consumer</v>
      </c>
      <c r="Q198" t="str">
        <f t="shared" si="11"/>
        <v>August</v>
      </c>
    </row>
    <row r="199" spans="1:17" x14ac:dyDescent="0.3">
      <c r="A199" s="1" t="s">
        <v>296</v>
      </c>
      <c r="B199" s="2">
        <v>45861</v>
      </c>
      <c r="C199" s="1" t="s">
        <v>34</v>
      </c>
      <c r="D199" s="1" t="s">
        <v>15</v>
      </c>
      <c r="E199" s="1" t="s">
        <v>12</v>
      </c>
      <c r="F199" s="1">
        <v>5</v>
      </c>
      <c r="G199" s="1">
        <v>0</v>
      </c>
      <c r="H199" s="1" t="s">
        <v>13</v>
      </c>
      <c r="I199" s="1">
        <v>20</v>
      </c>
      <c r="J199">
        <f>_xlfn.XLOOKUP(D199,[1]products!$A$2:$A$11,[1]products!$D$2:$D$11,"Not Found")</f>
        <v>600</v>
      </c>
      <c r="K199">
        <f t="shared" si="9"/>
        <v>3000</v>
      </c>
      <c r="L199">
        <f>_xlfn.XLOOKUP(D199,[1]products!$A$2:$A$11,[1]products!$E$2:$E$11,"Not Found")</f>
        <v>120</v>
      </c>
      <c r="M199">
        <f t="shared" si="10"/>
        <v>2380</v>
      </c>
      <c r="N199" t="str">
        <f>_xlfn.XLOOKUP(C199,[2]customers!$A$2:$A$81,[2]customers!$C$2:$C$81,"Not Found")</f>
        <v>North</v>
      </c>
      <c r="O199" t="str">
        <f>_xlfn.XLOOKUP(D199,[1]products!$A$2:$A$11,[1]products!$C$2:$C$11,"Not Found")</f>
        <v>Smartphone</v>
      </c>
      <c r="P199" t="str">
        <f>_xlfn.XLOOKUP(C199,[2]customers!$A$2:$A$81,[2]customers!$E$2:$E$81,"Not Found")</f>
        <v>Corporate</v>
      </c>
      <c r="Q199" t="str">
        <f t="shared" si="11"/>
        <v>July</v>
      </c>
    </row>
    <row r="200" spans="1:17" x14ac:dyDescent="0.3">
      <c r="A200" s="1" t="s">
        <v>297</v>
      </c>
      <c r="B200" s="2">
        <v>45913</v>
      </c>
      <c r="C200" s="1" t="s">
        <v>52</v>
      </c>
      <c r="D200" s="1" t="s">
        <v>11</v>
      </c>
      <c r="E200" s="1" t="s">
        <v>53</v>
      </c>
      <c r="F200" s="1">
        <v>1</v>
      </c>
      <c r="G200" s="1">
        <v>0</v>
      </c>
      <c r="H200" s="1" t="s">
        <v>13</v>
      </c>
      <c r="I200" s="1">
        <v>15</v>
      </c>
      <c r="J200">
        <f>_xlfn.XLOOKUP(D200,[1]products!$A$2:$A$11,[1]products!$D$2:$D$11,"Not Found")</f>
        <v>180</v>
      </c>
      <c r="K200">
        <f t="shared" si="9"/>
        <v>180</v>
      </c>
      <c r="L200">
        <f>_xlfn.XLOOKUP(D200,[1]products!$A$2:$A$11,[1]products!$E$2:$E$11,"Not Found")</f>
        <v>54</v>
      </c>
      <c r="M200">
        <f t="shared" si="10"/>
        <v>111</v>
      </c>
      <c r="N200" t="str">
        <f>_xlfn.XLOOKUP(C200,[2]customers!$A$2:$A$81,[2]customers!$C$2:$C$81,"Not Found")</f>
        <v>East</v>
      </c>
      <c r="O200" t="str">
        <f>_xlfn.XLOOKUP(D200,[1]products!$A$2:$A$11,[1]products!$C$2:$C$11,"Not Found")</f>
        <v>Office Chair</v>
      </c>
      <c r="P200" t="str">
        <f>_xlfn.XLOOKUP(C200,[2]customers!$A$2:$A$81,[2]customers!$E$2:$E$81,"Not Found")</f>
        <v>Corporate</v>
      </c>
      <c r="Q200" t="str">
        <f t="shared" si="11"/>
        <v>September</v>
      </c>
    </row>
    <row r="201" spans="1:17" x14ac:dyDescent="0.3">
      <c r="A201" s="1" t="s">
        <v>298</v>
      </c>
      <c r="B201" s="2">
        <v>45767</v>
      </c>
      <c r="C201" s="1" t="s">
        <v>42</v>
      </c>
      <c r="D201" s="1" t="s">
        <v>15</v>
      </c>
      <c r="E201" s="1" t="s">
        <v>53</v>
      </c>
      <c r="F201" s="1">
        <v>3</v>
      </c>
      <c r="G201" s="1">
        <v>0.05</v>
      </c>
      <c r="H201" s="1" t="s">
        <v>13</v>
      </c>
      <c r="I201" s="1">
        <v>12</v>
      </c>
      <c r="J201">
        <f>_xlfn.XLOOKUP(D201,[1]products!$A$2:$A$11,[1]products!$D$2:$D$11,"Not Found")</f>
        <v>600</v>
      </c>
      <c r="K201">
        <f t="shared" si="9"/>
        <v>1710</v>
      </c>
      <c r="L201">
        <f>_xlfn.XLOOKUP(D201,[1]products!$A$2:$A$11,[1]products!$E$2:$E$11,"Not Found")</f>
        <v>120</v>
      </c>
      <c r="M201">
        <f t="shared" si="10"/>
        <v>1338</v>
      </c>
      <c r="N201" t="str">
        <f>_xlfn.XLOOKUP(C201,[2]customers!$A$2:$A$81,[2]customers!$C$2:$C$81,"Not Found")</f>
        <v>South</v>
      </c>
      <c r="O201" t="str">
        <f>_xlfn.XLOOKUP(D201,[1]products!$A$2:$A$11,[1]products!$C$2:$C$11,"Not Found")</f>
        <v>Smartphone</v>
      </c>
      <c r="P201" t="str">
        <f>_xlfn.XLOOKUP(C201,[2]customers!$A$2:$A$81,[2]customers!$E$2:$E$81,"Not Found")</f>
        <v>Home Office</v>
      </c>
      <c r="Q201" t="str">
        <f t="shared" si="11"/>
        <v>April</v>
      </c>
    </row>
    <row r="202" spans="1:17" x14ac:dyDescent="0.3">
      <c r="A202" s="1" t="s">
        <v>299</v>
      </c>
      <c r="B202" s="2">
        <v>45889</v>
      </c>
      <c r="C202" s="1" t="s">
        <v>260</v>
      </c>
      <c r="D202" s="1" t="s">
        <v>11</v>
      </c>
      <c r="E202" s="1" t="s">
        <v>26</v>
      </c>
      <c r="F202" s="1">
        <v>1</v>
      </c>
      <c r="G202" s="1">
        <v>0</v>
      </c>
      <c r="H202" s="1" t="s">
        <v>22</v>
      </c>
      <c r="I202" s="1">
        <v>20</v>
      </c>
      <c r="J202">
        <f>_xlfn.XLOOKUP(D202,[1]products!$A$2:$A$11,[1]products!$D$2:$D$11,"Not Found")</f>
        <v>180</v>
      </c>
      <c r="K202">
        <f t="shared" si="9"/>
        <v>180</v>
      </c>
      <c r="L202">
        <f>_xlfn.XLOOKUP(D202,[1]products!$A$2:$A$11,[1]products!$E$2:$E$11,"Not Found")</f>
        <v>54</v>
      </c>
      <c r="M202">
        <f t="shared" si="10"/>
        <v>106</v>
      </c>
      <c r="N202" t="str">
        <f>_xlfn.XLOOKUP(C202,[2]customers!$A$2:$A$81,[2]customers!$C$2:$C$81,"Not Found")</f>
        <v>North</v>
      </c>
      <c r="O202" t="str">
        <f>_xlfn.XLOOKUP(D202,[1]products!$A$2:$A$11,[1]products!$C$2:$C$11,"Not Found")</f>
        <v>Office Chair</v>
      </c>
      <c r="P202" t="str">
        <f>_xlfn.XLOOKUP(C202,[2]customers!$A$2:$A$81,[2]customers!$E$2:$E$81,"Not Found")</f>
        <v>Corporate</v>
      </c>
      <c r="Q202" t="str">
        <f t="shared" si="11"/>
        <v>August</v>
      </c>
    </row>
    <row r="203" spans="1:17" x14ac:dyDescent="0.3">
      <c r="A203" s="1" t="s">
        <v>300</v>
      </c>
      <c r="B203" s="2">
        <v>45939</v>
      </c>
      <c r="C203" s="1" t="s">
        <v>34</v>
      </c>
      <c r="D203" s="1" t="s">
        <v>15</v>
      </c>
      <c r="E203" s="1" t="s">
        <v>53</v>
      </c>
      <c r="F203" s="1">
        <v>3</v>
      </c>
      <c r="G203" s="1">
        <v>0.05</v>
      </c>
      <c r="H203" s="1" t="s">
        <v>13</v>
      </c>
      <c r="I203" s="1">
        <v>12</v>
      </c>
      <c r="J203">
        <f>_xlfn.XLOOKUP(D203,[1]products!$A$2:$A$11,[1]products!$D$2:$D$11,"Not Found")</f>
        <v>600</v>
      </c>
      <c r="K203">
        <f t="shared" si="9"/>
        <v>1710</v>
      </c>
      <c r="L203">
        <f>_xlfn.XLOOKUP(D203,[1]products!$A$2:$A$11,[1]products!$E$2:$E$11,"Not Found")</f>
        <v>120</v>
      </c>
      <c r="M203">
        <f t="shared" si="10"/>
        <v>1338</v>
      </c>
      <c r="N203" t="str">
        <f>_xlfn.XLOOKUP(C203,[2]customers!$A$2:$A$81,[2]customers!$C$2:$C$81,"Not Found")</f>
        <v>North</v>
      </c>
      <c r="O203" t="str">
        <f>_xlfn.XLOOKUP(D203,[1]products!$A$2:$A$11,[1]products!$C$2:$C$11,"Not Found")</f>
        <v>Smartphone</v>
      </c>
      <c r="P203" t="str">
        <f>_xlfn.XLOOKUP(C203,[2]customers!$A$2:$A$81,[2]customers!$E$2:$E$81,"Not Found")</f>
        <v>Corporate</v>
      </c>
      <c r="Q203" t="str">
        <f t="shared" si="11"/>
        <v>October</v>
      </c>
    </row>
    <row r="204" spans="1:17" x14ac:dyDescent="0.3">
      <c r="A204" s="1" t="s">
        <v>301</v>
      </c>
      <c r="B204" s="2">
        <v>45720</v>
      </c>
      <c r="C204" s="1" t="s">
        <v>143</v>
      </c>
      <c r="D204" s="1" t="s">
        <v>74</v>
      </c>
      <c r="E204" s="1" t="s">
        <v>26</v>
      </c>
      <c r="F204" s="1">
        <v>2</v>
      </c>
      <c r="G204" s="1">
        <v>0.05</v>
      </c>
      <c r="H204" s="1" t="s">
        <v>13</v>
      </c>
      <c r="I204" s="1">
        <v>10</v>
      </c>
      <c r="J204">
        <f>_xlfn.XLOOKUP(D204,[1]products!$A$2:$A$11,[1]products!$D$2:$D$11,"Not Found")</f>
        <v>90</v>
      </c>
      <c r="K204">
        <f t="shared" si="9"/>
        <v>171</v>
      </c>
      <c r="L204">
        <f>_xlfn.XLOOKUP(D204,[1]products!$A$2:$A$11,[1]products!$E$2:$E$11,"Not Found")</f>
        <v>25.2</v>
      </c>
      <c r="M204">
        <f t="shared" si="10"/>
        <v>110.6</v>
      </c>
      <c r="N204" t="str">
        <f>_xlfn.XLOOKUP(C204,[2]customers!$A$2:$A$81,[2]customers!$C$2:$C$81,"Not Found")</f>
        <v>East</v>
      </c>
      <c r="O204" t="str">
        <f>_xlfn.XLOOKUP(D204,[1]products!$A$2:$A$11,[1]products!$C$2:$C$11,"Not Found")</f>
        <v>Headphones</v>
      </c>
      <c r="P204" t="str">
        <f>_xlfn.XLOOKUP(C204,[2]customers!$A$2:$A$81,[2]customers!$E$2:$E$81,"Not Found")</f>
        <v>Home Office</v>
      </c>
      <c r="Q204" t="str">
        <f t="shared" si="11"/>
        <v>March</v>
      </c>
    </row>
    <row r="205" spans="1:17" x14ac:dyDescent="0.3">
      <c r="A205" s="1" t="s">
        <v>302</v>
      </c>
      <c r="B205" s="2">
        <v>45846</v>
      </c>
      <c r="C205" s="1" t="s">
        <v>110</v>
      </c>
      <c r="D205" s="1" t="s">
        <v>79</v>
      </c>
      <c r="E205" s="1" t="s">
        <v>50</v>
      </c>
      <c r="F205" s="1">
        <v>1</v>
      </c>
      <c r="G205" s="1">
        <v>0.05</v>
      </c>
      <c r="H205" s="1" t="s">
        <v>13</v>
      </c>
      <c r="I205" s="1">
        <v>18</v>
      </c>
      <c r="J205">
        <f>_xlfn.XLOOKUP(D205,[1]products!$A$2:$A$11,[1]products!$D$2:$D$11,"Not Found")</f>
        <v>70</v>
      </c>
      <c r="K205">
        <f t="shared" si="9"/>
        <v>66.5</v>
      </c>
      <c r="L205">
        <f>_xlfn.XLOOKUP(D205,[1]products!$A$2:$A$11,[1]products!$E$2:$E$11,"Not Found")</f>
        <v>22.4</v>
      </c>
      <c r="M205">
        <f t="shared" si="10"/>
        <v>26.1</v>
      </c>
      <c r="N205" t="str">
        <f>_xlfn.XLOOKUP(C205,[2]customers!$A$2:$A$81,[2]customers!$C$2:$C$81,"Not Found")</f>
        <v>South</v>
      </c>
      <c r="O205" t="str">
        <f>_xlfn.XLOOKUP(D205,[1]products!$A$2:$A$11,[1]products!$C$2:$C$11,"Not Found")</f>
        <v>Blender</v>
      </c>
      <c r="P205" t="str">
        <f>_xlfn.XLOOKUP(C205,[2]customers!$A$2:$A$81,[2]customers!$E$2:$E$81,"Not Found")</f>
        <v>Consumer</v>
      </c>
      <c r="Q205" t="str">
        <f t="shared" si="11"/>
        <v>July</v>
      </c>
    </row>
    <row r="206" spans="1:17" x14ac:dyDescent="0.3">
      <c r="A206" s="1" t="s">
        <v>303</v>
      </c>
      <c r="B206" s="2">
        <v>45903</v>
      </c>
      <c r="C206" s="1" t="s">
        <v>194</v>
      </c>
      <c r="D206" s="1" t="s">
        <v>71</v>
      </c>
      <c r="E206" s="1" t="s">
        <v>53</v>
      </c>
      <c r="F206" s="1">
        <v>1</v>
      </c>
      <c r="G206" s="1">
        <v>0</v>
      </c>
      <c r="H206" s="1" t="s">
        <v>304</v>
      </c>
      <c r="I206" s="1">
        <v>15</v>
      </c>
      <c r="J206">
        <f>_xlfn.XLOOKUP(D206,[1]products!$A$2:$A$11,[1]products!$D$2:$D$11,"Not Found")</f>
        <v>240</v>
      </c>
      <c r="K206">
        <f t="shared" si="9"/>
        <v>240</v>
      </c>
      <c r="L206">
        <f>_xlfn.XLOOKUP(D206,[1]products!$A$2:$A$11,[1]products!$E$2:$E$11,"Not Found")</f>
        <v>55.2</v>
      </c>
      <c r="M206">
        <f t="shared" si="10"/>
        <v>169.8</v>
      </c>
      <c r="N206" t="str">
        <f>_xlfn.XLOOKUP(C206,[2]customers!$A$2:$A$81,[2]customers!$C$2:$C$81,"Not Found")</f>
        <v>East</v>
      </c>
      <c r="O206" t="str">
        <f>_xlfn.XLOOKUP(D206,[1]products!$A$2:$A$11,[1]products!$C$2:$C$11,"Not Found")</f>
        <v>Vacuum Cleaner</v>
      </c>
      <c r="P206" t="str">
        <f>_xlfn.XLOOKUP(C206,[2]customers!$A$2:$A$81,[2]customers!$E$2:$E$81,"Not Found")</f>
        <v>Corporate</v>
      </c>
      <c r="Q206" t="str">
        <f t="shared" si="11"/>
        <v>September</v>
      </c>
    </row>
    <row r="207" spans="1:17" x14ac:dyDescent="0.3">
      <c r="A207" s="1" t="s">
        <v>305</v>
      </c>
      <c r="B207" s="2">
        <v>45986</v>
      </c>
      <c r="C207" s="1" t="s">
        <v>45</v>
      </c>
      <c r="D207" s="1" t="s">
        <v>71</v>
      </c>
      <c r="E207" s="1" t="s">
        <v>16</v>
      </c>
      <c r="F207" s="1">
        <v>1</v>
      </c>
      <c r="G207" s="1">
        <v>0</v>
      </c>
      <c r="H207" s="1" t="s">
        <v>62</v>
      </c>
      <c r="I207" s="1">
        <v>15</v>
      </c>
      <c r="J207">
        <f>_xlfn.XLOOKUP(D207,[1]products!$A$2:$A$11,[1]products!$D$2:$D$11,"Not Found")</f>
        <v>240</v>
      </c>
      <c r="K207">
        <f t="shared" si="9"/>
        <v>240</v>
      </c>
      <c r="L207">
        <f>_xlfn.XLOOKUP(D207,[1]products!$A$2:$A$11,[1]products!$E$2:$E$11,"Not Found")</f>
        <v>55.2</v>
      </c>
      <c r="M207">
        <f t="shared" si="10"/>
        <v>169.8</v>
      </c>
      <c r="N207" t="str">
        <f>_xlfn.XLOOKUP(C207,[2]customers!$A$2:$A$81,[2]customers!$C$2:$C$81,"Not Found")</f>
        <v>West</v>
      </c>
      <c r="O207" t="str">
        <f>_xlfn.XLOOKUP(D207,[1]products!$A$2:$A$11,[1]products!$C$2:$C$11,"Not Found")</f>
        <v>Vacuum Cleaner</v>
      </c>
      <c r="P207" t="str">
        <f>_xlfn.XLOOKUP(C207,[2]customers!$A$2:$A$81,[2]customers!$E$2:$E$81,"Not Found")</f>
        <v>Home Office</v>
      </c>
      <c r="Q207" t="str">
        <f t="shared" si="11"/>
        <v>November</v>
      </c>
    </row>
    <row r="208" spans="1:17" x14ac:dyDescent="0.3">
      <c r="A208" s="1" t="s">
        <v>306</v>
      </c>
      <c r="B208" s="2">
        <v>45940</v>
      </c>
      <c r="C208" s="1" t="s">
        <v>307</v>
      </c>
      <c r="D208" s="1" t="s">
        <v>35</v>
      </c>
      <c r="E208" s="1" t="s">
        <v>53</v>
      </c>
      <c r="F208" s="1">
        <v>3</v>
      </c>
      <c r="G208" s="1">
        <v>0</v>
      </c>
      <c r="H208" s="1" t="s">
        <v>22</v>
      </c>
      <c r="I208" s="1">
        <v>10</v>
      </c>
      <c r="J208">
        <f>_xlfn.XLOOKUP(D208,[1]products!$A$2:$A$11,[1]products!$D$2:$D$11,"Not Found")</f>
        <v>130</v>
      </c>
      <c r="K208">
        <f t="shared" si="9"/>
        <v>390</v>
      </c>
      <c r="L208">
        <f>_xlfn.XLOOKUP(D208,[1]products!$A$2:$A$11,[1]products!$E$2:$E$11,"Not Found")</f>
        <v>33.799999999999997</v>
      </c>
      <c r="M208">
        <f t="shared" si="10"/>
        <v>278.60000000000002</v>
      </c>
      <c r="N208" t="str">
        <f>_xlfn.XLOOKUP(C208,[2]customers!$A$2:$A$81,[2]customers!$C$2:$C$81,"Not Found")</f>
        <v>North</v>
      </c>
      <c r="O208" t="str">
        <f>_xlfn.XLOOKUP(D208,[1]products!$A$2:$A$11,[1]products!$C$2:$C$11,"Not Found")</f>
        <v>Air Fryer</v>
      </c>
      <c r="P208" t="str">
        <f>_xlfn.XLOOKUP(C208,[2]customers!$A$2:$A$81,[2]customers!$E$2:$E$81,"Not Found")</f>
        <v>Consumer</v>
      </c>
      <c r="Q208" t="str">
        <f t="shared" si="11"/>
        <v>October</v>
      </c>
    </row>
    <row r="209" spans="1:17" x14ac:dyDescent="0.3">
      <c r="A209" s="1" t="s">
        <v>308</v>
      </c>
      <c r="B209" s="2">
        <v>45923</v>
      </c>
      <c r="C209" s="1" t="s">
        <v>194</v>
      </c>
      <c r="D209" s="1" t="s">
        <v>43</v>
      </c>
      <c r="E209" s="1" t="s">
        <v>26</v>
      </c>
      <c r="F209" s="1">
        <v>5</v>
      </c>
      <c r="G209" s="1">
        <v>0</v>
      </c>
      <c r="H209" s="1" t="s">
        <v>22</v>
      </c>
      <c r="I209" s="1">
        <v>12</v>
      </c>
      <c r="J209">
        <f>_xlfn.XLOOKUP(D209,[1]products!$A$2:$A$11,[1]products!$D$2:$D$11,"Not Found")</f>
        <v>160</v>
      </c>
      <c r="K209">
        <f t="shared" si="9"/>
        <v>800</v>
      </c>
      <c r="L209">
        <f>_xlfn.XLOOKUP(D209,[1]products!$A$2:$A$11,[1]products!$E$2:$E$11,"Not Found")</f>
        <v>38.4</v>
      </c>
      <c r="M209">
        <f t="shared" si="10"/>
        <v>596</v>
      </c>
      <c r="N209" t="str">
        <f>_xlfn.XLOOKUP(C209,[2]customers!$A$2:$A$81,[2]customers!$C$2:$C$81,"Not Found")</f>
        <v>East</v>
      </c>
      <c r="O209" t="str">
        <f>_xlfn.XLOOKUP(D209,[1]products!$A$2:$A$11,[1]products!$C$2:$C$11,"Not Found")</f>
        <v>Microwave</v>
      </c>
      <c r="P209" t="str">
        <f>_xlfn.XLOOKUP(C209,[2]customers!$A$2:$A$81,[2]customers!$E$2:$E$81,"Not Found")</f>
        <v>Corporate</v>
      </c>
      <c r="Q209" t="str">
        <f t="shared" si="11"/>
        <v>September</v>
      </c>
    </row>
    <row r="210" spans="1:17" x14ac:dyDescent="0.3">
      <c r="A210" s="1" t="s">
        <v>309</v>
      </c>
      <c r="B210" s="2">
        <v>45923</v>
      </c>
      <c r="C210" s="1" t="s">
        <v>101</v>
      </c>
      <c r="D210" s="1" t="s">
        <v>74</v>
      </c>
      <c r="E210" s="1" t="s">
        <v>12</v>
      </c>
      <c r="F210" s="1">
        <v>3</v>
      </c>
      <c r="G210" s="1">
        <v>0</v>
      </c>
      <c r="H210" s="1" t="s">
        <v>13</v>
      </c>
      <c r="I210" s="1">
        <v>8</v>
      </c>
      <c r="J210">
        <f>_xlfn.XLOOKUP(D210,[1]products!$A$2:$A$11,[1]products!$D$2:$D$11,"Not Found")</f>
        <v>90</v>
      </c>
      <c r="K210">
        <f t="shared" si="9"/>
        <v>270</v>
      </c>
      <c r="L210">
        <f>_xlfn.XLOOKUP(D210,[1]products!$A$2:$A$11,[1]products!$E$2:$E$11,"Not Found")</f>
        <v>25.2</v>
      </c>
      <c r="M210">
        <f t="shared" si="10"/>
        <v>186.4</v>
      </c>
      <c r="N210" t="str">
        <f>_xlfn.XLOOKUP(C210,[2]customers!$A$2:$A$81,[2]customers!$C$2:$C$81,"Not Found")</f>
        <v>South</v>
      </c>
      <c r="O210" t="str">
        <f>_xlfn.XLOOKUP(D210,[1]products!$A$2:$A$11,[1]products!$C$2:$C$11,"Not Found")</f>
        <v>Headphones</v>
      </c>
      <c r="P210" t="str">
        <f>_xlfn.XLOOKUP(C210,[2]customers!$A$2:$A$81,[2]customers!$E$2:$E$81,"Not Found")</f>
        <v>Corporate</v>
      </c>
      <c r="Q210" t="str">
        <f t="shared" si="11"/>
        <v>September</v>
      </c>
    </row>
    <row r="211" spans="1:17" x14ac:dyDescent="0.3">
      <c r="A211" s="1" t="s">
        <v>310</v>
      </c>
      <c r="B211" s="2">
        <v>45813</v>
      </c>
      <c r="C211" s="1" t="s">
        <v>106</v>
      </c>
      <c r="D211" s="1" t="s">
        <v>11</v>
      </c>
      <c r="E211" s="1" t="s">
        <v>53</v>
      </c>
      <c r="F211" s="1">
        <v>5</v>
      </c>
      <c r="G211" s="1">
        <v>0.05</v>
      </c>
      <c r="H211" s="1" t="s">
        <v>13</v>
      </c>
      <c r="I211" s="1">
        <v>18</v>
      </c>
      <c r="J211">
        <f>_xlfn.XLOOKUP(D211,[1]products!$A$2:$A$11,[1]products!$D$2:$D$11,"Not Found")</f>
        <v>180</v>
      </c>
      <c r="K211">
        <f t="shared" si="9"/>
        <v>855</v>
      </c>
      <c r="L211">
        <f>_xlfn.XLOOKUP(D211,[1]products!$A$2:$A$11,[1]products!$E$2:$E$11,"Not Found")</f>
        <v>54</v>
      </c>
      <c r="M211">
        <f t="shared" si="10"/>
        <v>567</v>
      </c>
      <c r="N211" t="str">
        <f>_xlfn.XLOOKUP(C211,[2]customers!$A$2:$A$81,[2]customers!$C$2:$C$81,"Not Found")</f>
        <v>North</v>
      </c>
      <c r="O211" t="str">
        <f>_xlfn.XLOOKUP(D211,[1]products!$A$2:$A$11,[1]products!$C$2:$C$11,"Not Found")</f>
        <v>Office Chair</v>
      </c>
      <c r="P211" t="str">
        <f>_xlfn.XLOOKUP(C211,[2]customers!$A$2:$A$81,[2]customers!$E$2:$E$81,"Not Found")</f>
        <v>Corporate</v>
      </c>
      <c r="Q211" t="str">
        <f t="shared" si="11"/>
        <v>June</v>
      </c>
    </row>
    <row r="212" spans="1:17" x14ac:dyDescent="0.3">
      <c r="A212" s="1" t="s">
        <v>311</v>
      </c>
      <c r="B212" s="2">
        <v>45736</v>
      </c>
      <c r="C212" s="1" t="s">
        <v>76</v>
      </c>
      <c r="D212" s="1" t="s">
        <v>35</v>
      </c>
      <c r="E212" s="1" t="s">
        <v>26</v>
      </c>
      <c r="F212" s="1">
        <v>2</v>
      </c>
      <c r="G212" s="1">
        <v>0.15</v>
      </c>
      <c r="H212" s="1" t="s">
        <v>62</v>
      </c>
      <c r="I212" s="1">
        <v>20</v>
      </c>
      <c r="J212">
        <f>_xlfn.XLOOKUP(D212,[1]products!$A$2:$A$11,[1]products!$D$2:$D$11,"Not Found")</f>
        <v>130</v>
      </c>
      <c r="K212">
        <f t="shared" si="9"/>
        <v>221</v>
      </c>
      <c r="L212">
        <f>_xlfn.XLOOKUP(D212,[1]products!$A$2:$A$11,[1]products!$E$2:$E$11,"Not Found")</f>
        <v>33.799999999999997</v>
      </c>
      <c r="M212">
        <f t="shared" si="10"/>
        <v>133.4</v>
      </c>
      <c r="N212" t="str">
        <f>_xlfn.XLOOKUP(C212,[2]customers!$A$2:$A$81,[2]customers!$C$2:$C$81,"Not Found")</f>
        <v>West</v>
      </c>
      <c r="O212" t="str">
        <f>_xlfn.XLOOKUP(D212,[1]products!$A$2:$A$11,[1]products!$C$2:$C$11,"Not Found")</f>
        <v>Air Fryer</v>
      </c>
      <c r="P212" t="str">
        <f>_xlfn.XLOOKUP(C212,[2]customers!$A$2:$A$81,[2]customers!$E$2:$E$81,"Not Found")</f>
        <v>Consumer</v>
      </c>
      <c r="Q212" t="str">
        <f t="shared" si="11"/>
        <v>March</v>
      </c>
    </row>
    <row r="213" spans="1:17" x14ac:dyDescent="0.3">
      <c r="A213" s="1" t="s">
        <v>312</v>
      </c>
      <c r="B213" s="2">
        <v>45672</v>
      </c>
      <c r="C213" s="1" t="s">
        <v>185</v>
      </c>
      <c r="D213" s="1" t="s">
        <v>71</v>
      </c>
      <c r="E213" s="1" t="s">
        <v>16</v>
      </c>
      <c r="F213" s="1">
        <v>3</v>
      </c>
      <c r="G213" s="1">
        <v>0.15</v>
      </c>
      <c r="H213" s="1" t="s">
        <v>13</v>
      </c>
      <c r="I213" s="1">
        <v>8</v>
      </c>
      <c r="J213">
        <f>_xlfn.XLOOKUP(D213,[1]products!$A$2:$A$11,[1]products!$D$2:$D$11,"Not Found")</f>
        <v>240</v>
      </c>
      <c r="K213">
        <f t="shared" si="9"/>
        <v>612</v>
      </c>
      <c r="L213">
        <f>_xlfn.XLOOKUP(D213,[1]products!$A$2:$A$11,[1]products!$E$2:$E$11,"Not Found")</f>
        <v>55.2</v>
      </c>
      <c r="M213">
        <f t="shared" si="10"/>
        <v>438.4</v>
      </c>
      <c r="N213" t="str">
        <f>_xlfn.XLOOKUP(C213,[2]customers!$A$2:$A$81,[2]customers!$C$2:$C$81,"Not Found")</f>
        <v>East</v>
      </c>
      <c r="O213" t="str">
        <f>_xlfn.XLOOKUP(D213,[1]products!$A$2:$A$11,[1]products!$C$2:$C$11,"Not Found")</f>
        <v>Vacuum Cleaner</v>
      </c>
      <c r="P213" t="str">
        <f>_xlfn.XLOOKUP(C213,[2]customers!$A$2:$A$81,[2]customers!$E$2:$E$81,"Not Found")</f>
        <v>Consumer</v>
      </c>
      <c r="Q213" t="str">
        <f t="shared" si="11"/>
        <v>January</v>
      </c>
    </row>
    <row r="214" spans="1:17" x14ac:dyDescent="0.3">
      <c r="A214" s="1" t="s">
        <v>313</v>
      </c>
      <c r="B214" s="2">
        <v>45985</v>
      </c>
      <c r="C214" s="1" t="s">
        <v>59</v>
      </c>
      <c r="D214" s="1" t="s">
        <v>21</v>
      </c>
      <c r="E214" s="1" t="s">
        <v>16</v>
      </c>
      <c r="F214" s="1">
        <v>2</v>
      </c>
      <c r="G214" s="1">
        <v>0.15</v>
      </c>
      <c r="H214" s="1" t="s">
        <v>13</v>
      </c>
      <c r="I214" s="1">
        <v>15</v>
      </c>
      <c r="J214">
        <f>_xlfn.XLOOKUP(D214,[1]products!$A$2:$A$11,[1]products!$D$2:$D$11,"Not Found")</f>
        <v>320</v>
      </c>
      <c r="K214">
        <f t="shared" si="9"/>
        <v>544</v>
      </c>
      <c r="L214">
        <f>_xlfn.XLOOKUP(D214,[1]products!$A$2:$A$11,[1]products!$E$2:$E$11,"Not Found")</f>
        <v>86.4</v>
      </c>
      <c r="M214">
        <f t="shared" si="10"/>
        <v>356.2</v>
      </c>
      <c r="N214" t="str">
        <f>_xlfn.XLOOKUP(C214,[2]customers!$A$2:$A$81,[2]customers!$C$2:$C$81,"Not Found")</f>
        <v>West</v>
      </c>
      <c r="O214" t="str">
        <f>_xlfn.XLOOKUP(D214,[1]products!$A$2:$A$11,[1]products!$C$2:$C$11,"Not Found")</f>
        <v>Desk</v>
      </c>
      <c r="P214" t="str">
        <f>_xlfn.XLOOKUP(C214,[2]customers!$A$2:$A$81,[2]customers!$E$2:$E$81,"Not Found")</f>
        <v>Corporate</v>
      </c>
      <c r="Q214" t="str">
        <f t="shared" si="11"/>
        <v>November</v>
      </c>
    </row>
    <row r="215" spans="1:17" x14ac:dyDescent="0.3">
      <c r="A215" s="1" t="s">
        <v>314</v>
      </c>
      <c r="B215" s="2">
        <v>46008</v>
      </c>
      <c r="C215" s="1" t="s">
        <v>262</v>
      </c>
      <c r="D215" s="1" t="s">
        <v>21</v>
      </c>
      <c r="E215" s="1" t="s">
        <v>50</v>
      </c>
      <c r="F215" s="1">
        <v>3</v>
      </c>
      <c r="G215" s="1">
        <v>0.1</v>
      </c>
      <c r="H215" s="1" t="s">
        <v>13</v>
      </c>
      <c r="I215" s="1">
        <v>12</v>
      </c>
      <c r="J215">
        <f>_xlfn.XLOOKUP(D215,[1]products!$A$2:$A$11,[1]products!$D$2:$D$11,"Not Found")</f>
        <v>320</v>
      </c>
      <c r="K215">
        <f t="shared" si="9"/>
        <v>864</v>
      </c>
      <c r="L215">
        <f>_xlfn.XLOOKUP(D215,[1]products!$A$2:$A$11,[1]products!$E$2:$E$11,"Not Found")</f>
        <v>86.4</v>
      </c>
      <c r="M215">
        <f t="shared" si="10"/>
        <v>592.79999999999995</v>
      </c>
      <c r="N215" t="str">
        <f>_xlfn.XLOOKUP(C215,[2]customers!$A$2:$A$81,[2]customers!$C$2:$C$81,"Not Found")</f>
        <v>East</v>
      </c>
      <c r="O215" t="str">
        <f>_xlfn.XLOOKUP(D215,[1]products!$A$2:$A$11,[1]products!$C$2:$C$11,"Not Found")</f>
        <v>Desk</v>
      </c>
      <c r="P215" t="str">
        <f>_xlfn.XLOOKUP(C215,[2]customers!$A$2:$A$81,[2]customers!$E$2:$E$81,"Not Found")</f>
        <v>Home Office</v>
      </c>
      <c r="Q215" t="str">
        <f t="shared" si="11"/>
        <v>December</v>
      </c>
    </row>
    <row r="216" spans="1:17" x14ac:dyDescent="0.3">
      <c r="A216" s="1" t="s">
        <v>315</v>
      </c>
      <c r="B216" s="2">
        <v>45905</v>
      </c>
      <c r="C216" s="1" t="s">
        <v>84</v>
      </c>
      <c r="D216" s="1" t="s">
        <v>15</v>
      </c>
      <c r="E216" s="1" t="s">
        <v>50</v>
      </c>
      <c r="F216" s="1">
        <v>1</v>
      </c>
      <c r="G216" s="1">
        <v>0</v>
      </c>
      <c r="H216" s="1" t="s">
        <v>13</v>
      </c>
      <c r="I216" s="1">
        <v>10</v>
      </c>
      <c r="J216">
        <f>_xlfn.XLOOKUP(D216,[1]products!$A$2:$A$11,[1]products!$D$2:$D$11,"Not Found")</f>
        <v>600</v>
      </c>
      <c r="K216">
        <f t="shared" si="9"/>
        <v>600</v>
      </c>
      <c r="L216">
        <f>_xlfn.XLOOKUP(D216,[1]products!$A$2:$A$11,[1]products!$E$2:$E$11,"Not Found")</f>
        <v>120</v>
      </c>
      <c r="M216">
        <f t="shared" si="10"/>
        <v>470</v>
      </c>
      <c r="N216" t="str">
        <f>_xlfn.XLOOKUP(C216,[2]customers!$A$2:$A$81,[2]customers!$C$2:$C$81,"Not Found")</f>
        <v>North</v>
      </c>
      <c r="O216" t="str">
        <f>_xlfn.XLOOKUP(D216,[1]products!$A$2:$A$11,[1]products!$C$2:$C$11,"Not Found")</f>
        <v>Smartphone</v>
      </c>
      <c r="P216" t="str">
        <f>_xlfn.XLOOKUP(C216,[2]customers!$A$2:$A$81,[2]customers!$E$2:$E$81,"Not Found")</f>
        <v>Corporate</v>
      </c>
      <c r="Q216" t="str">
        <f t="shared" si="11"/>
        <v>September</v>
      </c>
    </row>
    <row r="217" spans="1:17" x14ac:dyDescent="0.3">
      <c r="A217" s="1" t="s">
        <v>316</v>
      </c>
      <c r="B217" s="2">
        <v>45821</v>
      </c>
      <c r="C217" s="1" t="s">
        <v>30</v>
      </c>
      <c r="D217" s="1" t="s">
        <v>71</v>
      </c>
      <c r="E217" s="1" t="s">
        <v>12</v>
      </c>
      <c r="F217" s="1">
        <v>2</v>
      </c>
      <c r="G217" s="1">
        <v>0.05</v>
      </c>
      <c r="H217" s="1" t="s">
        <v>22</v>
      </c>
      <c r="I217" s="1">
        <v>15</v>
      </c>
      <c r="J217">
        <f>_xlfn.XLOOKUP(D217,[1]products!$A$2:$A$11,[1]products!$D$2:$D$11,"Not Found")</f>
        <v>240</v>
      </c>
      <c r="K217">
        <f t="shared" si="9"/>
        <v>456</v>
      </c>
      <c r="L217">
        <f>_xlfn.XLOOKUP(D217,[1]products!$A$2:$A$11,[1]products!$E$2:$E$11,"Not Found")</f>
        <v>55.2</v>
      </c>
      <c r="M217">
        <f t="shared" si="10"/>
        <v>330.6</v>
      </c>
      <c r="N217" t="str">
        <f>_xlfn.XLOOKUP(C217,[2]customers!$A$2:$A$81,[2]customers!$C$2:$C$81,"Not Found")</f>
        <v>West</v>
      </c>
      <c r="O217" t="str">
        <f>_xlfn.XLOOKUP(D217,[1]products!$A$2:$A$11,[1]products!$C$2:$C$11,"Not Found")</f>
        <v>Vacuum Cleaner</v>
      </c>
      <c r="P217" t="str">
        <f>_xlfn.XLOOKUP(C217,[2]customers!$A$2:$A$81,[2]customers!$E$2:$E$81,"Not Found")</f>
        <v>Home Office</v>
      </c>
      <c r="Q217" t="str">
        <f t="shared" si="11"/>
        <v>June</v>
      </c>
    </row>
    <row r="218" spans="1:17" x14ac:dyDescent="0.3">
      <c r="A218" s="1" t="s">
        <v>317</v>
      </c>
      <c r="B218" s="2">
        <v>45781</v>
      </c>
      <c r="C218" s="1" t="s">
        <v>194</v>
      </c>
      <c r="D218" s="1" t="s">
        <v>38</v>
      </c>
      <c r="E218" s="1" t="s">
        <v>50</v>
      </c>
      <c r="F218" s="1">
        <v>5</v>
      </c>
      <c r="G218" s="1">
        <v>0.15</v>
      </c>
      <c r="H218" s="1" t="s">
        <v>13</v>
      </c>
      <c r="I218" s="1">
        <v>8</v>
      </c>
      <c r="J218">
        <f>_xlfn.XLOOKUP(D218,[1]products!$A$2:$A$11,[1]products!$D$2:$D$11,"Not Found")</f>
        <v>210</v>
      </c>
      <c r="K218">
        <f t="shared" si="9"/>
        <v>892.5</v>
      </c>
      <c r="L218">
        <f>_xlfn.XLOOKUP(D218,[1]products!$A$2:$A$11,[1]products!$E$2:$E$11,"Not Found")</f>
        <v>52.5</v>
      </c>
      <c r="M218">
        <f t="shared" si="10"/>
        <v>622</v>
      </c>
      <c r="N218" t="str">
        <f>_xlfn.XLOOKUP(C218,[2]customers!$A$2:$A$81,[2]customers!$C$2:$C$81,"Not Found")</f>
        <v>East</v>
      </c>
      <c r="O218" t="str">
        <f>_xlfn.XLOOKUP(D218,[1]products!$A$2:$A$11,[1]products!$C$2:$C$11,"Not Found")</f>
        <v>Bookshelf</v>
      </c>
      <c r="P218" t="str">
        <f>_xlfn.XLOOKUP(C218,[2]customers!$A$2:$A$81,[2]customers!$E$2:$E$81,"Not Found")</f>
        <v>Corporate</v>
      </c>
      <c r="Q218" t="str">
        <f t="shared" si="11"/>
        <v>May</v>
      </c>
    </row>
    <row r="219" spans="1:17" x14ac:dyDescent="0.3">
      <c r="A219" s="1" t="s">
        <v>318</v>
      </c>
      <c r="B219" s="2">
        <v>45806</v>
      </c>
      <c r="C219" s="1" t="s">
        <v>226</v>
      </c>
      <c r="D219" s="1" t="s">
        <v>79</v>
      </c>
      <c r="E219" s="1" t="s">
        <v>50</v>
      </c>
      <c r="F219" s="1">
        <v>2</v>
      </c>
      <c r="G219" s="1">
        <v>0</v>
      </c>
      <c r="H219" s="1" t="s">
        <v>13</v>
      </c>
      <c r="I219" s="1">
        <v>18</v>
      </c>
      <c r="J219">
        <f>_xlfn.XLOOKUP(D219,[1]products!$A$2:$A$11,[1]products!$D$2:$D$11,"Not Found")</f>
        <v>70</v>
      </c>
      <c r="K219">
        <f t="shared" si="9"/>
        <v>140</v>
      </c>
      <c r="L219">
        <f>_xlfn.XLOOKUP(D219,[1]products!$A$2:$A$11,[1]products!$E$2:$E$11,"Not Found")</f>
        <v>22.4</v>
      </c>
      <c r="M219">
        <f t="shared" si="10"/>
        <v>77.2</v>
      </c>
      <c r="N219" t="str">
        <f>_xlfn.XLOOKUP(C219,[2]customers!$A$2:$A$81,[2]customers!$C$2:$C$81,"Not Found")</f>
        <v>West</v>
      </c>
      <c r="O219" t="str">
        <f>_xlfn.XLOOKUP(D219,[1]products!$A$2:$A$11,[1]products!$C$2:$C$11,"Not Found")</f>
        <v>Blender</v>
      </c>
      <c r="P219" t="str">
        <f>_xlfn.XLOOKUP(C219,[2]customers!$A$2:$A$81,[2]customers!$E$2:$E$81,"Not Found")</f>
        <v>Home Office</v>
      </c>
      <c r="Q219" t="str">
        <f t="shared" si="11"/>
        <v>May</v>
      </c>
    </row>
    <row r="220" spans="1:17" x14ac:dyDescent="0.3">
      <c r="A220" s="1" t="s">
        <v>319</v>
      </c>
      <c r="B220" s="2">
        <v>45818</v>
      </c>
      <c r="C220" s="1" t="s">
        <v>98</v>
      </c>
      <c r="D220" s="1" t="s">
        <v>11</v>
      </c>
      <c r="E220" s="1" t="s">
        <v>26</v>
      </c>
      <c r="F220" s="1">
        <v>2</v>
      </c>
      <c r="G220" s="1">
        <v>0.05</v>
      </c>
      <c r="H220" s="1" t="s">
        <v>22</v>
      </c>
      <c r="I220" s="1">
        <v>10</v>
      </c>
      <c r="J220">
        <f>_xlfn.XLOOKUP(D220,[1]products!$A$2:$A$11,[1]products!$D$2:$D$11,"Not Found")</f>
        <v>180</v>
      </c>
      <c r="K220">
        <f t="shared" si="9"/>
        <v>342</v>
      </c>
      <c r="L220">
        <f>_xlfn.XLOOKUP(D220,[1]products!$A$2:$A$11,[1]products!$E$2:$E$11,"Not Found")</f>
        <v>54</v>
      </c>
      <c r="M220">
        <f t="shared" si="10"/>
        <v>224</v>
      </c>
      <c r="N220" t="str">
        <f>_xlfn.XLOOKUP(C220,[2]customers!$A$2:$A$81,[2]customers!$C$2:$C$81,"Not Found")</f>
        <v>South</v>
      </c>
      <c r="O220" t="str">
        <f>_xlfn.XLOOKUP(D220,[1]products!$A$2:$A$11,[1]products!$C$2:$C$11,"Not Found")</f>
        <v>Office Chair</v>
      </c>
      <c r="P220" t="str">
        <f>_xlfn.XLOOKUP(C220,[2]customers!$A$2:$A$81,[2]customers!$E$2:$E$81,"Not Found")</f>
        <v>Consumer</v>
      </c>
      <c r="Q220" t="str">
        <f t="shared" si="11"/>
        <v>June</v>
      </c>
    </row>
    <row r="221" spans="1:17" x14ac:dyDescent="0.3">
      <c r="A221" s="1" t="s">
        <v>320</v>
      </c>
      <c r="B221" s="2">
        <v>45912</v>
      </c>
      <c r="C221" s="1" t="s">
        <v>123</v>
      </c>
      <c r="D221" s="1" t="s">
        <v>35</v>
      </c>
      <c r="E221" s="1" t="s">
        <v>16</v>
      </c>
      <c r="F221" s="1">
        <v>4</v>
      </c>
      <c r="G221" s="1">
        <v>0.1</v>
      </c>
      <c r="H221" s="1" t="s">
        <v>22</v>
      </c>
      <c r="I221" s="1">
        <v>8</v>
      </c>
      <c r="J221">
        <f>_xlfn.XLOOKUP(D221,[1]products!$A$2:$A$11,[1]products!$D$2:$D$11,"Not Found")</f>
        <v>130</v>
      </c>
      <c r="K221">
        <f t="shared" si="9"/>
        <v>468</v>
      </c>
      <c r="L221">
        <f>_xlfn.XLOOKUP(D221,[1]products!$A$2:$A$11,[1]products!$E$2:$E$11,"Not Found")</f>
        <v>33.799999999999997</v>
      </c>
      <c r="M221">
        <f t="shared" si="10"/>
        <v>324.8</v>
      </c>
      <c r="N221" t="str">
        <f>_xlfn.XLOOKUP(C221,[2]customers!$A$2:$A$81,[2]customers!$C$2:$C$81,"Not Found")</f>
        <v>East</v>
      </c>
      <c r="O221" t="str">
        <f>_xlfn.XLOOKUP(D221,[1]products!$A$2:$A$11,[1]products!$C$2:$C$11,"Not Found")</f>
        <v>Air Fryer</v>
      </c>
      <c r="P221" t="str">
        <f>_xlfn.XLOOKUP(C221,[2]customers!$A$2:$A$81,[2]customers!$E$2:$E$81,"Not Found")</f>
        <v>Consumer</v>
      </c>
      <c r="Q221" t="str">
        <f t="shared" si="11"/>
        <v>September</v>
      </c>
    </row>
    <row r="222" spans="1:17" x14ac:dyDescent="0.3">
      <c r="A222" s="1" t="s">
        <v>321</v>
      </c>
      <c r="B222" s="2">
        <v>45838</v>
      </c>
      <c r="C222" s="1" t="s">
        <v>178</v>
      </c>
      <c r="D222" s="1" t="s">
        <v>35</v>
      </c>
      <c r="E222" s="1" t="s">
        <v>16</v>
      </c>
      <c r="F222" s="1">
        <v>4</v>
      </c>
      <c r="G222" s="1">
        <v>0</v>
      </c>
      <c r="H222" s="1" t="s">
        <v>13</v>
      </c>
      <c r="I222" s="1">
        <v>8</v>
      </c>
      <c r="J222">
        <f>_xlfn.XLOOKUP(D222,[1]products!$A$2:$A$11,[1]products!$D$2:$D$11,"Not Found")</f>
        <v>130</v>
      </c>
      <c r="K222">
        <f t="shared" si="9"/>
        <v>520</v>
      </c>
      <c r="L222">
        <f>_xlfn.XLOOKUP(D222,[1]products!$A$2:$A$11,[1]products!$E$2:$E$11,"Not Found")</f>
        <v>33.799999999999997</v>
      </c>
      <c r="M222">
        <f t="shared" si="10"/>
        <v>376.8</v>
      </c>
      <c r="N222" t="str">
        <f>_xlfn.XLOOKUP(C222,[2]customers!$A$2:$A$81,[2]customers!$C$2:$C$81,"Not Found")</f>
        <v>East</v>
      </c>
      <c r="O222" t="str">
        <f>_xlfn.XLOOKUP(D222,[1]products!$A$2:$A$11,[1]products!$C$2:$C$11,"Not Found")</f>
        <v>Air Fryer</v>
      </c>
      <c r="P222" t="str">
        <f>_xlfn.XLOOKUP(C222,[2]customers!$A$2:$A$81,[2]customers!$E$2:$E$81,"Not Found")</f>
        <v>Home Office</v>
      </c>
      <c r="Q222" t="str">
        <f t="shared" si="11"/>
        <v>June</v>
      </c>
    </row>
    <row r="223" spans="1:17" x14ac:dyDescent="0.3">
      <c r="A223" s="1" t="s">
        <v>322</v>
      </c>
      <c r="B223" s="2">
        <v>45662</v>
      </c>
      <c r="C223" s="1" t="s">
        <v>266</v>
      </c>
      <c r="D223" s="1" t="s">
        <v>79</v>
      </c>
      <c r="E223" s="1" t="s">
        <v>16</v>
      </c>
      <c r="F223" s="1">
        <v>5</v>
      </c>
      <c r="G223" s="1">
        <v>0.1</v>
      </c>
      <c r="H223" s="1" t="s">
        <v>13</v>
      </c>
      <c r="I223" s="1">
        <v>15</v>
      </c>
      <c r="J223">
        <f>_xlfn.XLOOKUP(D223,[1]products!$A$2:$A$11,[1]products!$D$2:$D$11,"Not Found")</f>
        <v>70</v>
      </c>
      <c r="K223">
        <f t="shared" si="9"/>
        <v>315</v>
      </c>
      <c r="L223">
        <f>_xlfn.XLOOKUP(D223,[1]products!$A$2:$A$11,[1]products!$E$2:$E$11,"Not Found")</f>
        <v>22.4</v>
      </c>
      <c r="M223">
        <f t="shared" si="10"/>
        <v>188</v>
      </c>
      <c r="N223" t="str">
        <f>_xlfn.XLOOKUP(C223,[2]customers!$A$2:$A$81,[2]customers!$C$2:$C$81,"Not Found")</f>
        <v>South</v>
      </c>
      <c r="O223" t="str">
        <f>_xlfn.XLOOKUP(D223,[1]products!$A$2:$A$11,[1]products!$C$2:$C$11,"Not Found")</f>
        <v>Blender</v>
      </c>
      <c r="P223" t="str">
        <f>_xlfn.XLOOKUP(C223,[2]customers!$A$2:$A$81,[2]customers!$E$2:$E$81,"Not Found")</f>
        <v>Consumer</v>
      </c>
      <c r="Q223" t="str">
        <f t="shared" si="11"/>
        <v>January</v>
      </c>
    </row>
    <row r="224" spans="1:17" x14ac:dyDescent="0.3">
      <c r="A224" s="1" t="s">
        <v>323</v>
      </c>
      <c r="B224" s="2">
        <v>45863</v>
      </c>
      <c r="C224" s="1" t="s">
        <v>275</v>
      </c>
      <c r="D224" s="1" t="s">
        <v>21</v>
      </c>
      <c r="E224" s="1" t="s">
        <v>16</v>
      </c>
      <c r="F224" s="1">
        <v>3</v>
      </c>
      <c r="G224" s="1">
        <v>0.1</v>
      </c>
      <c r="H224" s="1" t="s">
        <v>13</v>
      </c>
      <c r="I224" s="1">
        <v>18</v>
      </c>
      <c r="J224">
        <f>_xlfn.XLOOKUP(D224,[1]products!$A$2:$A$11,[1]products!$D$2:$D$11,"Not Found")</f>
        <v>320</v>
      </c>
      <c r="K224">
        <f t="shared" si="9"/>
        <v>864</v>
      </c>
      <c r="L224">
        <f>_xlfn.XLOOKUP(D224,[1]products!$A$2:$A$11,[1]products!$E$2:$E$11,"Not Found")</f>
        <v>86.4</v>
      </c>
      <c r="M224">
        <f t="shared" si="10"/>
        <v>586.79999999999995</v>
      </c>
      <c r="N224" t="str">
        <f>_xlfn.XLOOKUP(C224,[2]customers!$A$2:$A$81,[2]customers!$C$2:$C$81,"Not Found")</f>
        <v>South</v>
      </c>
      <c r="O224" t="str">
        <f>_xlfn.XLOOKUP(D224,[1]products!$A$2:$A$11,[1]products!$C$2:$C$11,"Not Found")</f>
        <v>Desk</v>
      </c>
      <c r="P224" t="str">
        <f>_xlfn.XLOOKUP(C224,[2]customers!$A$2:$A$81,[2]customers!$E$2:$E$81,"Not Found")</f>
        <v>Corporate</v>
      </c>
      <c r="Q224" t="str">
        <f t="shared" si="11"/>
        <v>July</v>
      </c>
    </row>
    <row r="225" spans="1:17" x14ac:dyDescent="0.3">
      <c r="A225" s="1" t="s">
        <v>324</v>
      </c>
      <c r="B225" s="2">
        <v>45855</v>
      </c>
      <c r="C225" s="1" t="s">
        <v>42</v>
      </c>
      <c r="D225" s="1" t="s">
        <v>11</v>
      </c>
      <c r="E225" s="1" t="s">
        <v>53</v>
      </c>
      <c r="F225" s="1">
        <v>3</v>
      </c>
      <c r="G225" s="1">
        <v>0.15</v>
      </c>
      <c r="H225" s="1" t="s">
        <v>13</v>
      </c>
      <c r="I225" s="1">
        <v>15</v>
      </c>
      <c r="J225">
        <f>_xlfn.XLOOKUP(D225,[1]products!$A$2:$A$11,[1]products!$D$2:$D$11,"Not Found")</f>
        <v>180</v>
      </c>
      <c r="K225">
        <f t="shared" si="9"/>
        <v>459</v>
      </c>
      <c r="L225">
        <f>_xlfn.XLOOKUP(D225,[1]products!$A$2:$A$11,[1]products!$E$2:$E$11,"Not Found")</f>
        <v>54</v>
      </c>
      <c r="M225">
        <f t="shared" si="10"/>
        <v>282</v>
      </c>
      <c r="N225" t="str">
        <f>_xlfn.XLOOKUP(C225,[2]customers!$A$2:$A$81,[2]customers!$C$2:$C$81,"Not Found")</f>
        <v>South</v>
      </c>
      <c r="O225" t="str">
        <f>_xlfn.XLOOKUP(D225,[1]products!$A$2:$A$11,[1]products!$C$2:$C$11,"Not Found")</f>
        <v>Office Chair</v>
      </c>
      <c r="P225" t="str">
        <f>_xlfn.XLOOKUP(C225,[2]customers!$A$2:$A$81,[2]customers!$E$2:$E$81,"Not Found")</f>
        <v>Home Office</v>
      </c>
      <c r="Q225" t="str">
        <f t="shared" si="11"/>
        <v>July</v>
      </c>
    </row>
    <row r="226" spans="1:17" x14ac:dyDescent="0.3">
      <c r="A226" s="1" t="s">
        <v>325</v>
      </c>
      <c r="B226" s="2">
        <v>45707</v>
      </c>
      <c r="C226" s="1" t="s">
        <v>147</v>
      </c>
      <c r="D226" s="1" t="s">
        <v>21</v>
      </c>
      <c r="E226" s="1" t="s">
        <v>50</v>
      </c>
      <c r="F226" s="1">
        <v>5</v>
      </c>
      <c r="G226" s="1">
        <v>0.15</v>
      </c>
      <c r="H226" s="1" t="s">
        <v>13</v>
      </c>
      <c r="I226" s="1">
        <v>12</v>
      </c>
      <c r="J226">
        <f>_xlfn.XLOOKUP(D226,[1]products!$A$2:$A$11,[1]products!$D$2:$D$11,"Not Found")</f>
        <v>320</v>
      </c>
      <c r="K226">
        <f t="shared" si="9"/>
        <v>1360</v>
      </c>
      <c r="L226">
        <f>_xlfn.XLOOKUP(D226,[1]products!$A$2:$A$11,[1]products!$E$2:$E$11,"Not Found")</f>
        <v>86.4</v>
      </c>
      <c r="M226">
        <f t="shared" si="10"/>
        <v>916</v>
      </c>
      <c r="N226" t="str">
        <f>_xlfn.XLOOKUP(C226,[2]customers!$A$2:$A$81,[2]customers!$C$2:$C$81,"Not Found")</f>
        <v>North</v>
      </c>
      <c r="O226" t="str">
        <f>_xlfn.XLOOKUP(D226,[1]products!$A$2:$A$11,[1]products!$C$2:$C$11,"Not Found")</f>
        <v>Desk</v>
      </c>
      <c r="P226" t="str">
        <f>_xlfn.XLOOKUP(C226,[2]customers!$A$2:$A$81,[2]customers!$E$2:$E$81,"Not Found")</f>
        <v>Consumer</v>
      </c>
      <c r="Q226" t="str">
        <f t="shared" si="11"/>
        <v>February</v>
      </c>
    </row>
    <row r="227" spans="1:17" x14ac:dyDescent="0.3">
      <c r="A227" s="1" t="s">
        <v>326</v>
      </c>
      <c r="B227" s="2">
        <v>45918</v>
      </c>
      <c r="C227" s="1" t="s">
        <v>30</v>
      </c>
      <c r="D227" s="1" t="s">
        <v>35</v>
      </c>
      <c r="E227" s="1" t="s">
        <v>50</v>
      </c>
      <c r="F227" s="1">
        <v>3</v>
      </c>
      <c r="G227" s="1">
        <v>0</v>
      </c>
      <c r="H227" s="1" t="s">
        <v>13</v>
      </c>
      <c r="I227" s="1">
        <v>18</v>
      </c>
      <c r="J227">
        <f>_xlfn.XLOOKUP(D227,[1]products!$A$2:$A$11,[1]products!$D$2:$D$11,"Not Found")</f>
        <v>130</v>
      </c>
      <c r="K227">
        <f t="shared" si="9"/>
        <v>390</v>
      </c>
      <c r="L227">
        <f>_xlfn.XLOOKUP(D227,[1]products!$A$2:$A$11,[1]products!$E$2:$E$11,"Not Found")</f>
        <v>33.799999999999997</v>
      </c>
      <c r="M227">
        <f t="shared" si="10"/>
        <v>270.60000000000002</v>
      </c>
      <c r="N227" t="str">
        <f>_xlfn.XLOOKUP(C227,[2]customers!$A$2:$A$81,[2]customers!$C$2:$C$81,"Not Found")</f>
        <v>West</v>
      </c>
      <c r="O227" t="str">
        <f>_xlfn.XLOOKUP(D227,[1]products!$A$2:$A$11,[1]products!$C$2:$C$11,"Not Found")</f>
        <v>Air Fryer</v>
      </c>
      <c r="P227" t="str">
        <f>_xlfn.XLOOKUP(C227,[2]customers!$A$2:$A$81,[2]customers!$E$2:$E$81,"Not Found")</f>
        <v>Home Office</v>
      </c>
      <c r="Q227" t="str">
        <f t="shared" si="11"/>
        <v>September</v>
      </c>
    </row>
    <row r="228" spans="1:17" x14ac:dyDescent="0.3">
      <c r="A228" s="1" t="s">
        <v>327</v>
      </c>
      <c r="B228" s="2">
        <v>45900</v>
      </c>
      <c r="C228" s="1" t="s">
        <v>182</v>
      </c>
      <c r="D228" s="1" t="s">
        <v>25</v>
      </c>
      <c r="E228" s="1" t="s">
        <v>53</v>
      </c>
      <c r="F228" s="1">
        <v>1</v>
      </c>
      <c r="G228" s="1">
        <v>0</v>
      </c>
      <c r="H228" s="1" t="s">
        <v>13</v>
      </c>
      <c r="I228" s="1">
        <v>15</v>
      </c>
      <c r="J228">
        <f>_xlfn.XLOOKUP(D228,[1]products!$A$2:$A$11,[1]products!$D$2:$D$11,"Not Found")</f>
        <v>850</v>
      </c>
      <c r="K228">
        <f t="shared" si="9"/>
        <v>850</v>
      </c>
      <c r="L228">
        <f>_xlfn.XLOOKUP(D228,[1]products!$A$2:$A$11,[1]products!$E$2:$E$11,"Not Found")</f>
        <v>187</v>
      </c>
      <c r="M228">
        <f t="shared" si="10"/>
        <v>648</v>
      </c>
      <c r="N228" t="str">
        <f>_xlfn.XLOOKUP(C228,[2]customers!$A$2:$A$81,[2]customers!$C$2:$C$81,"Not Found")</f>
        <v>North</v>
      </c>
      <c r="O228" t="str">
        <f>_xlfn.XLOOKUP(D228,[1]products!$A$2:$A$11,[1]products!$C$2:$C$11,"Not Found")</f>
        <v>Laptop</v>
      </c>
      <c r="P228" t="str">
        <f>_xlfn.XLOOKUP(C228,[2]customers!$A$2:$A$81,[2]customers!$E$2:$E$81,"Not Found")</f>
        <v>Corporate</v>
      </c>
      <c r="Q228" t="str">
        <f t="shared" si="11"/>
        <v>August</v>
      </c>
    </row>
    <row r="229" spans="1:17" x14ac:dyDescent="0.3">
      <c r="A229" s="1" t="s">
        <v>328</v>
      </c>
      <c r="B229" s="2">
        <v>45971</v>
      </c>
      <c r="C229" s="1" t="s">
        <v>92</v>
      </c>
      <c r="D229" s="1" t="s">
        <v>71</v>
      </c>
      <c r="E229" s="1" t="s">
        <v>12</v>
      </c>
      <c r="F229" s="1">
        <v>5</v>
      </c>
      <c r="G229" s="1">
        <v>0</v>
      </c>
      <c r="H229" s="1" t="s">
        <v>13</v>
      </c>
      <c r="I229" s="1">
        <v>10</v>
      </c>
      <c r="J229">
        <f>_xlfn.XLOOKUP(D229,[1]products!$A$2:$A$11,[1]products!$D$2:$D$11,"Not Found")</f>
        <v>240</v>
      </c>
      <c r="K229">
        <f t="shared" si="9"/>
        <v>1200</v>
      </c>
      <c r="L229">
        <f>_xlfn.XLOOKUP(D229,[1]products!$A$2:$A$11,[1]products!$E$2:$E$11,"Not Found")</f>
        <v>55.2</v>
      </c>
      <c r="M229">
        <f t="shared" si="10"/>
        <v>914</v>
      </c>
      <c r="N229" t="str">
        <f>_xlfn.XLOOKUP(C229,[2]customers!$A$2:$A$81,[2]customers!$C$2:$C$81,"Not Found")</f>
        <v>South</v>
      </c>
      <c r="O229" t="str">
        <f>_xlfn.XLOOKUP(D229,[1]products!$A$2:$A$11,[1]products!$C$2:$C$11,"Not Found")</f>
        <v>Vacuum Cleaner</v>
      </c>
      <c r="P229" t="str">
        <f>_xlfn.XLOOKUP(C229,[2]customers!$A$2:$A$81,[2]customers!$E$2:$E$81,"Not Found")</f>
        <v>Corporate</v>
      </c>
      <c r="Q229" t="str">
        <f t="shared" si="11"/>
        <v>November</v>
      </c>
    </row>
    <row r="230" spans="1:17" x14ac:dyDescent="0.3">
      <c r="A230" s="1" t="s">
        <v>329</v>
      </c>
      <c r="B230" s="2">
        <v>45918</v>
      </c>
      <c r="C230" s="1" t="s">
        <v>178</v>
      </c>
      <c r="D230" s="1" t="s">
        <v>71</v>
      </c>
      <c r="E230" s="1" t="s">
        <v>53</v>
      </c>
      <c r="F230" s="1">
        <v>3</v>
      </c>
      <c r="G230" s="1">
        <v>0.15</v>
      </c>
      <c r="H230" s="1" t="s">
        <v>13</v>
      </c>
      <c r="I230" s="1">
        <v>15</v>
      </c>
      <c r="J230">
        <f>_xlfn.XLOOKUP(D230,[1]products!$A$2:$A$11,[1]products!$D$2:$D$11,"Not Found")</f>
        <v>240</v>
      </c>
      <c r="K230">
        <f t="shared" si="9"/>
        <v>612</v>
      </c>
      <c r="L230">
        <f>_xlfn.XLOOKUP(D230,[1]products!$A$2:$A$11,[1]products!$E$2:$E$11,"Not Found")</f>
        <v>55.2</v>
      </c>
      <c r="M230">
        <f t="shared" si="10"/>
        <v>431.4</v>
      </c>
      <c r="N230" t="str">
        <f>_xlfn.XLOOKUP(C230,[2]customers!$A$2:$A$81,[2]customers!$C$2:$C$81,"Not Found")</f>
        <v>East</v>
      </c>
      <c r="O230" t="str">
        <f>_xlfn.XLOOKUP(D230,[1]products!$A$2:$A$11,[1]products!$C$2:$C$11,"Not Found")</f>
        <v>Vacuum Cleaner</v>
      </c>
      <c r="P230" t="str">
        <f>_xlfn.XLOOKUP(C230,[2]customers!$A$2:$A$81,[2]customers!$E$2:$E$81,"Not Found")</f>
        <v>Home Office</v>
      </c>
      <c r="Q230" t="str">
        <f t="shared" si="11"/>
        <v>September</v>
      </c>
    </row>
    <row r="231" spans="1:17" x14ac:dyDescent="0.3">
      <c r="A231" s="1" t="s">
        <v>330</v>
      </c>
      <c r="B231" s="2">
        <v>46002</v>
      </c>
      <c r="C231" s="1" t="s">
        <v>68</v>
      </c>
      <c r="D231" s="1" t="s">
        <v>21</v>
      </c>
      <c r="E231" s="1" t="s">
        <v>16</v>
      </c>
      <c r="F231" s="1">
        <v>4</v>
      </c>
      <c r="G231" s="1">
        <v>0</v>
      </c>
      <c r="H231" s="1" t="s">
        <v>13</v>
      </c>
      <c r="I231" s="1">
        <v>15</v>
      </c>
      <c r="J231">
        <f>_xlfn.XLOOKUP(D231,[1]products!$A$2:$A$11,[1]products!$D$2:$D$11,"Not Found")</f>
        <v>320</v>
      </c>
      <c r="K231">
        <f t="shared" si="9"/>
        <v>1280</v>
      </c>
      <c r="L231">
        <f>_xlfn.XLOOKUP(D231,[1]products!$A$2:$A$11,[1]products!$E$2:$E$11,"Not Found")</f>
        <v>86.4</v>
      </c>
      <c r="M231">
        <f t="shared" si="10"/>
        <v>919.4</v>
      </c>
      <c r="N231" t="str">
        <f>_xlfn.XLOOKUP(C231,[2]customers!$A$2:$A$81,[2]customers!$C$2:$C$81,"Not Found")</f>
        <v>West</v>
      </c>
      <c r="O231" t="str">
        <f>_xlfn.XLOOKUP(D231,[1]products!$A$2:$A$11,[1]products!$C$2:$C$11,"Not Found")</f>
        <v>Desk</v>
      </c>
      <c r="P231" t="str">
        <f>_xlfn.XLOOKUP(C231,[2]customers!$A$2:$A$81,[2]customers!$E$2:$E$81,"Not Found")</f>
        <v>Corporate</v>
      </c>
      <c r="Q231" t="str">
        <f t="shared" si="11"/>
        <v>December</v>
      </c>
    </row>
    <row r="232" spans="1:17" x14ac:dyDescent="0.3">
      <c r="A232" s="1" t="s">
        <v>331</v>
      </c>
      <c r="B232" s="2">
        <v>45993</v>
      </c>
      <c r="C232" s="1" t="s">
        <v>128</v>
      </c>
      <c r="D232" s="1" t="s">
        <v>21</v>
      </c>
      <c r="E232" s="1" t="s">
        <v>53</v>
      </c>
      <c r="F232" s="1">
        <v>1</v>
      </c>
      <c r="G232" s="1">
        <v>0.15</v>
      </c>
      <c r="H232" s="1" t="s">
        <v>13</v>
      </c>
      <c r="I232" s="1">
        <v>18</v>
      </c>
      <c r="J232">
        <f>_xlfn.XLOOKUP(D232,[1]products!$A$2:$A$11,[1]products!$D$2:$D$11,"Not Found")</f>
        <v>320</v>
      </c>
      <c r="K232">
        <f t="shared" si="9"/>
        <v>272</v>
      </c>
      <c r="L232">
        <f>_xlfn.XLOOKUP(D232,[1]products!$A$2:$A$11,[1]products!$E$2:$E$11,"Not Found")</f>
        <v>86.4</v>
      </c>
      <c r="M232">
        <f t="shared" si="10"/>
        <v>167.6</v>
      </c>
      <c r="N232" t="str">
        <f>_xlfn.XLOOKUP(C232,[2]customers!$A$2:$A$81,[2]customers!$C$2:$C$81,"Not Found")</f>
        <v>South</v>
      </c>
      <c r="O232" t="str">
        <f>_xlfn.XLOOKUP(D232,[1]products!$A$2:$A$11,[1]products!$C$2:$C$11,"Not Found")</f>
        <v>Desk</v>
      </c>
      <c r="P232" t="str">
        <f>_xlfn.XLOOKUP(C232,[2]customers!$A$2:$A$81,[2]customers!$E$2:$E$81,"Not Found")</f>
        <v>Home Office</v>
      </c>
      <c r="Q232" t="str">
        <f t="shared" si="11"/>
        <v>December</v>
      </c>
    </row>
    <row r="233" spans="1:17" x14ac:dyDescent="0.3">
      <c r="A233" s="1" t="s">
        <v>332</v>
      </c>
      <c r="B233" s="2">
        <v>45980</v>
      </c>
      <c r="C233" s="1" t="s">
        <v>150</v>
      </c>
      <c r="D233" s="1" t="s">
        <v>25</v>
      </c>
      <c r="E233" s="1" t="s">
        <v>53</v>
      </c>
      <c r="F233" s="1">
        <v>5</v>
      </c>
      <c r="G233" s="1">
        <v>0.1</v>
      </c>
      <c r="H233" s="1" t="s">
        <v>13</v>
      </c>
      <c r="I233" s="1">
        <v>15</v>
      </c>
      <c r="J233">
        <f>_xlfn.XLOOKUP(D233,[1]products!$A$2:$A$11,[1]products!$D$2:$D$11,"Not Found")</f>
        <v>850</v>
      </c>
      <c r="K233">
        <f t="shared" si="9"/>
        <v>3825</v>
      </c>
      <c r="L233">
        <f>_xlfn.XLOOKUP(D233,[1]products!$A$2:$A$11,[1]products!$E$2:$E$11,"Not Found")</f>
        <v>187</v>
      </c>
      <c r="M233">
        <f t="shared" si="10"/>
        <v>2875</v>
      </c>
      <c r="N233" t="str">
        <f>_xlfn.XLOOKUP(C233,[2]customers!$A$2:$A$81,[2]customers!$C$2:$C$81,"Not Found")</f>
        <v>North</v>
      </c>
      <c r="O233" t="str">
        <f>_xlfn.XLOOKUP(D233,[1]products!$A$2:$A$11,[1]products!$C$2:$C$11,"Not Found")</f>
        <v>Laptop</v>
      </c>
      <c r="P233" t="str">
        <f>_xlfn.XLOOKUP(C233,[2]customers!$A$2:$A$81,[2]customers!$E$2:$E$81,"Not Found")</f>
        <v>Consumer</v>
      </c>
      <c r="Q233" t="str">
        <f t="shared" si="11"/>
        <v>November</v>
      </c>
    </row>
    <row r="234" spans="1:17" x14ac:dyDescent="0.3">
      <c r="A234" s="1" t="s">
        <v>333</v>
      </c>
      <c r="B234" s="2">
        <v>45714</v>
      </c>
      <c r="C234" s="1" t="s">
        <v>176</v>
      </c>
      <c r="D234" s="1" t="s">
        <v>11</v>
      </c>
      <c r="E234" s="1" t="s">
        <v>26</v>
      </c>
      <c r="F234" s="1">
        <v>1</v>
      </c>
      <c r="G234" s="1">
        <v>0.15</v>
      </c>
      <c r="H234" s="1" t="s">
        <v>62</v>
      </c>
      <c r="I234" s="1">
        <v>8</v>
      </c>
      <c r="J234">
        <f>_xlfn.XLOOKUP(D234,[1]products!$A$2:$A$11,[1]products!$D$2:$D$11,"Not Found")</f>
        <v>180</v>
      </c>
      <c r="K234">
        <f t="shared" si="9"/>
        <v>153</v>
      </c>
      <c r="L234">
        <f>_xlfn.XLOOKUP(D234,[1]products!$A$2:$A$11,[1]products!$E$2:$E$11,"Not Found")</f>
        <v>54</v>
      </c>
      <c r="M234">
        <f t="shared" si="10"/>
        <v>91</v>
      </c>
      <c r="N234" t="str">
        <f>_xlfn.XLOOKUP(C234,[2]customers!$A$2:$A$81,[2]customers!$C$2:$C$81,"Not Found")</f>
        <v>West</v>
      </c>
      <c r="O234" t="str">
        <f>_xlfn.XLOOKUP(D234,[1]products!$A$2:$A$11,[1]products!$C$2:$C$11,"Not Found")</f>
        <v>Office Chair</v>
      </c>
      <c r="P234" t="str">
        <f>_xlfn.XLOOKUP(C234,[2]customers!$A$2:$A$81,[2]customers!$E$2:$E$81,"Not Found")</f>
        <v>Home Office</v>
      </c>
      <c r="Q234" t="str">
        <f t="shared" si="11"/>
        <v>February</v>
      </c>
    </row>
    <row r="235" spans="1:17" x14ac:dyDescent="0.3">
      <c r="A235" s="1" t="s">
        <v>334</v>
      </c>
      <c r="B235" s="2">
        <v>45762</v>
      </c>
      <c r="C235" s="1" t="s">
        <v>34</v>
      </c>
      <c r="D235" s="1" t="s">
        <v>38</v>
      </c>
      <c r="E235" s="1" t="s">
        <v>50</v>
      </c>
      <c r="F235" s="1">
        <v>4</v>
      </c>
      <c r="G235" s="1">
        <v>0</v>
      </c>
      <c r="H235" s="1" t="s">
        <v>13</v>
      </c>
      <c r="I235" s="1">
        <v>18</v>
      </c>
      <c r="J235">
        <f>_xlfn.XLOOKUP(D235,[1]products!$A$2:$A$11,[1]products!$D$2:$D$11,"Not Found")</f>
        <v>210</v>
      </c>
      <c r="K235">
        <f t="shared" si="9"/>
        <v>840</v>
      </c>
      <c r="L235">
        <f>_xlfn.XLOOKUP(D235,[1]products!$A$2:$A$11,[1]products!$E$2:$E$11,"Not Found")</f>
        <v>52.5</v>
      </c>
      <c r="M235">
        <f t="shared" si="10"/>
        <v>612</v>
      </c>
      <c r="N235" t="str">
        <f>_xlfn.XLOOKUP(C235,[2]customers!$A$2:$A$81,[2]customers!$C$2:$C$81,"Not Found")</f>
        <v>North</v>
      </c>
      <c r="O235" t="str">
        <f>_xlfn.XLOOKUP(D235,[1]products!$A$2:$A$11,[1]products!$C$2:$C$11,"Not Found")</f>
        <v>Bookshelf</v>
      </c>
      <c r="P235" t="str">
        <f>_xlfn.XLOOKUP(C235,[2]customers!$A$2:$A$81,[2]customers!$E$2:$E$81,"Not Found")</f>
        <v>Corporate</v>
      </c>
      <c r="Q235" t="str">
        <f t="shared" si="11"/>
        <v>April</v>
      </c>
    </row>
    <row r="236" spans="1:17" x14ac:dyDescent="0.3">
      <c r="A236" s="1" t="s">
        <v>335</v>
      </c>
      <c r="B236" s="2">
        <v>45945</v>
      </c>
      <c r="C236" s="1" t="s">
        <v>86</v>
      </c>
      <c r="D236" s="1" t="s">
        <v>79</v>
      </c>
      <c r="E236" s="1" t="s">
        <v>12</v>
      </c>
      <c r="F236" s="1">
        <v>1</v>
      </c>
      <c r="G236" s="1">
        <v>0</v>
      </c>
      <c r="H236" s="1" t="s">
        <v>13</v>
      </c>
      <c r="I236" s="1">
        <v>20</v>
      </c>
      <c r="J236">
        <f>_xlfn.XLOOKUP(D236,[1]products!$A$2:$A$11,[1]products!$D$2:$D$11,"Not Found")</f>
        <v>70</v>
      </c>
      <c r="K236">
        <f t="shared" si="9"/>
        <v>70</v>
      </c>
      <c r="L236">
        <f>_xlfn.XLOOKUP(D236,[1]products!$A$2:$A$11,[1]products!$E$2:$E$11,"Not Found")</f>
        <v>22.4</v>
      </c>
      <c r="M236">
        <f t="shared" si="10"/>
        <v>27.6</v>
      </c>
      <c r="N236" t="str">
        <f>_xlfn.XLOOKUP(C236,[2]customers!$A$2:$A$81,[2]customers!$C$2:$C$81,"Not Found")</f>
        <v>West</v>
      </c>
      <c r="O236" t="str">
        <f>_xlfn.XLOOKUP(D236,[1]products!$A$2:$A$11,[1]products!$C$2:$C$11,"Not Found")</f>
        <v>Blender</v>
      </c>
      <c r="P236" t="str">
        <f>_xlfn.XLOOKUP(C236,[2]customers!$A$2:$A$81,[2]customers!$E$2:$E$81,"Not Found")</f>
        <v>Home Office</v>
      </c>
      <c r="Q236" t="str">
        <f t="shared" si="11"/>
        <v>October</v>
      </c>
    </row>
    <row r="237" spans="1:17" x14ac:dyDescent="0.3">
      <c r="A237" s="1" t="s">
        <v>336</v>
      </c>
      <c r="B237" s="2">
        <v>45893</v>
      </c>
      <c r="C237" s="1" t="s">
        <v>119</v>
      </c>
      <c r="D237" s="1" t="s">
        <v>35</v>
      </c>
      <c r="E237" s="1" t="s">
        <v>53</v>
      </c>
      <c r="F237" s="1">
        <v>4</v>
      </c>
      <c r="G237" s="1">
        <v>0.05</v>
      </c>
      <c r="H237" s="1" t="s">
        <v>62</v>
      </c>
      <c r="I237" s="1">
        <v>12</v>
      </c>
      <c r="J237">
        <f>_xlfn.XLOOKUP(D237,[1]products!$A$2:$A$11,[1]products!$D$2:$D$11,"Not Found")</f>
        <v>130</v>
      </c>
      <c r="K237">
        <f t="shared" si="9"/>
        <v>494</v>
      </c>
      <c r="L237">
        <f>_xlfn.XLOOKUP(D237,[1]products!$A$2:$A$11,[1]products!$E$2:$E$11,"Not Found")</f>
        <v>33.799999999999997</v>
      </c>
      <c r="M237">
        <f t="shared" si="10"/>
        <v>346.8</v>
      </c>
      <c r="N237" t="str">
        <f>_xlfn.XLOOKUP(C237,[2]customers!$A$2:$A$81,[2]customers!$C$2:$C$81,"Not Found")</f>
        <v>West</v>
      </c>
      <c r="O237" t="str">
        <f>_xlfn.XLOOKUP(D237,[1]products!$A$2:$A$11,[1]products!$C$2:$C$11,"Not Found")</f>
        <v>Air Fryer</v>
      </c>
      <c r="P237" t="str">
        <f>_xlfn.XLOOKUP(C237,[2]customers!$A$2:$A$81,[2]customers!$E$2:$E$81,"Not Found")</f>
        <v>Consumer</v>
      </c>
      <c r="Q237" t="str">
        <f t="shared" si="11"/>
        <v>August</v>
      </c>
    </row>
    <row r="238" spans="1:17" x14ac:dyDescent="0.3">
      <c r="A238" s="1" t="s">
        <v>337</v>
      </c>
      <c r="B238" s="2">
        <v>45784</v>
      </c>
      <c r="C238" s="1" t="s">
        <v>262</v>
      </c>
      <c r="D238" s="1" t="s">
        <v>38</v>
      </c>
      <c r="E238" s="1" t="s">
        <v>12</v>
      </c>
      <c r="F238" s="1">
        <v>3</v>
      </c>
      <c r="G238" s="1">
        <v>0.15</v>
      </c>
      <c r="H238" s="1" t="s">
        <v>13</v>
      </c>
      <c r="I238" s="1">
        <v>18</v>
      </c>
      <c r="J238">
        <f>_xlfn.XLOOKUP(D238,[1]products!$A$2:$A$11,[1]products!$D$2:$D$11,"Not Found")</f>
        <v>210</v>
      </c>
      <c r="K238">
        <f t="shared" si="9"/>
        <v>535.5</v>
      </c>
      <c r="L238">
        <f>_xlfn.XLOOKUP(D238,[1]products!$A$2:$A$11,[1]products!$E$2:$E$11,"Not Found")</f>
        <v>52.5</v>
      </c>
      <c r="M238">
        <f t="shared" si="10"/>
        <v>360</v>
      </c>
      <c r="N238" t="str">
        <f>_xlfn.XLOOKUP(C238,[2]customers!$A$2:$A$81,[2]customers!$C$2:$C$81,"Not Found")</f>
        <v>East</v>
      </c>
      <c r="O238" t="str">
        <f>_xlfn.XLOOKUP(D238,[1]products!$A$2:$A$11,[1]products!$C$2:$C$11,"Not Found")</f>
        <v>Bookshelf</v>
      </c>
      <c r="P238" t="str">
        <f>_xlfn.XLOOKUP(C238,[2]customers!$A$2:$A$81,[2]customers!$E$2:$E$81,"Not Found")</f>
        <v>Home Office</v>
      </c>
      <c r="Q238" t="str">
        <f t="shared" si="11"/>
        <v>May</v>
      </c>
    </row>
    <row r="239" spans="1:17" x14ac:dyDescent="0.3">
      <c r="A239" s="1" t="s">
        <v>338</v>
      </c>
      <c r="B239" s="2">
        <v>46011</v>
      </c>
      <c r="C239" s="1" t="s">
        <v>143</v>
      </c>
      <c r="D239" s="1" t="s">
        <v>11</v>
      </c>
      <c r="E239" s="1" t="s">
        <v>50</v>
      </c>
      <c r="F239" s="1">
        <v>3</v>
      </c>
      <c r="G239" s="1">
        <v>0.05</v>
      </c>
      <c r="H239" s="1" t="s">
        <v>13</v>
      </c>
      <c r="I239" s="1">
        <v>12</v>
      </c>
      <c r="J239">
        <f>_xlfn.XLOOKUP(D239,[1]products!$A$2:$A$11,[1]products!$D$2:$D$11,"Not Found")</f>
        <v>180</v>
      </c>
      <c r="K239">
        <f t="shared" si="9"/>
        <v>513</v>
      </c>
      <c r="L239">
        <f>_xlfn.XLOOKUP(D239,[1]products!$A$2:$A$11,[1]products!$E$2:$E$11,"Not Found")</f>
        <v>54</v>
      </c>
      <c r="M239">
        <f t="shared" si="10"/>
        <v>339</v>
      </c>
      <c r="N239" t="str">
        <f>_xlfn.XLOOKUP(C239,[2]customers!$A$2:$A$81,[2]customers!$C$2:$C$81,"Not Found")</f>
        <v>East</v>
      </c>
      <c r="O239" t="str">
        <f>_xlfn.XLOOKUP(D239,[1]products!$A$2:$A$11,[1]products!$C$2:$C$11,"Not Found")</f>
        <v>Office Chair</v>
      </c>
      <c r="P239" t="str">
        <f>_xlfn.XLOOKUP(C239,[2]customers!$A$2:$A$81,[2]customers!$E$2:$E$81,"Not Found")</f>
        <v>Home Office</v>
      </c>
      <c r="Q239" t="str">
        <f t="shared" si="11"/>
        <v>December</v>
      </c>
    </row>
    <row r="240" spans="1:17" x14ac:dyDescent="0.3">
      <c r="A240" s="1" t="s">
        <v>339</v>
      </c>
      <c r="B240" s="2">
        <v>45951</v>
      </c>
      <c r="C240" s="1" t="s">
        <v>119</v>
      </c>
      <c r="D240" s="1" t="s">
        <v>38</v>
      </c>
      <c r="E240" s="1" t="s">
        <v>53</v>
      </c>
      <c r="F240" s="1">
        <v>5</v>
      </c>
      <c r="G240" s="1">
        <v>0.05</v>
      </c>
      <c r="H240" s="1" t="s">
        <v>13</v>
      </c>
      <c r="I240" s="1">
        <v>15</v>
      </c>
      <c r="J240">
        <f>_xlfn.XLOOKUP(D240,[1]products!$A$2:$A$11,[1]products!$D$2:$D$11,"Not Found")</f>
        <v>210</v>
      </c>
      <c r="K240">
        <f t="shared" si="9"/>
        <v>997.5</v>
      </c>
      <c r="L240">
        <f>_xlfn.XLOOKUP(D240,[1]products!$A$2:$A$11,[1]products!$E$2:$E$11,"Not Found")</f>
        <v>52.5</v>
      </c>
      <c r="M240">
        <f t="shared" si="10"/>
        <v>720</v>
      </c>
      <c r="N240" t="str">
        <f>_xlfn.XLOOKUP(C240,[2]customers!$A$2:$A$81,[2]customers!$C$2:$C$81,"Not Found")</f>
        <v>West</v>
      </c>
      <c r="O240" t="str">
        <f>_xlfn.XLOOKUP(D240,[1]products!$A$2:$A$11,[1]products!$C$2:$C$11,"Not Found")</f>
        <v>Bookshelf</v>
      </c>
      <c r="P240" t="str">
        <f>_xlfn.XLOOKUP(C240,[2]customers!$A$2:$A$81,[2]customers!$E$2:$E$81,"Not Found")</f>
        <v>Consumer</v>
      </c>
      <c r="Q240" t="str">
        <f t="shared" si="11"/>
        <v>October</v>
      </c>
    </row>
    <row r="241" spans="1:17" x14ac:dyDescent="0.3">
      <c r="A241" s="1" t="s">
        <v>340</v>
      </c>
      <c r="B241" s="2">
        <v>45698</v>
      </c>
      <c r="C241" s="1" t="s">
        <v>178</v>
      </c>
      <c r="D241" s="1" t="s">
        <v>38</v>
      </c>
      <c r="E241" s="1" t="s">
        <v>12</v>
      </c>
      <c r="F241" s="1">
        <v>2</v>
      </c>
      <c r="G241" s="1">
        <v>0.05</v>
      </c>
      <c r="H241" s="1" t="s">
        <v>13</v>
      </c>
      <c r="I241" s="1">
        <v>15</v>
      </c>
      <c r="J241">
        <f>_xlfn.XLOOKUP(D241,[1]products!$A$2:$A$11,[1]products!$D$2:$D$11,"Not Found")</f>
        <v>210</v>
      </c>
      <c r="K241">
        <f t="shared" si="9"/>
        <v>399</v>
      </c>
      <c r="L241">
        <f>_xlfn.XLOOKUP(D241,[1]products!$A$2:$A$11,[1]products!$E$2:$E$11,"Not Found")</f>
        <v>52.5</v>
      </c>
      <c r="M241">
        <f t="shared" si="10"/>
        <v>279</v>
      </c>
      <c r="N241" t="str">
        <f>_xlfn.XLOOKUP(C241,[2]customers!$A$2:$A$81,[2]customers!$C$2:$C$81,"Not Found")</f>
        <v>East</v>
      </c>
      <c r="O241" t="str">
        <f>_xlfn.XLOOKUP(D241,[1]products!$A$2:$A$11,[1]products!$C$2:$C$11,"Not Found")</f>
        <v>Bookshelf</v>
      </c>
      <c r="P241" t="str">
        <f>_xlfn.XLOOKUP(C241,[2]customers!$A$2:$A$81,[2]customers!$E$2:$E$81,"Not Found")</f>
        <v>Home Office</v>
      </c>
      <c r="Q241" t="str">
        <f t="shared" si="11"/>
        <v>February</v>
      </c>
    </row>
    <row r="242" spans="1:17" x14ac:dyDescent="0.3">
      <c r="A242" s="1" t="s">
        <v>341</v>
      </c>
      <c r="B242" s="2">
        <v>45796</v>
      </c>
      <c r="C242" s="1" t="s">
        <v>106</v>
      </c>
      <c r="D242" s="1" t="s">
        <v>79</v>
      </c>
      <c r="E242" s="1" t="s">
        <v>53</v>
      </c>
      <c r="F242" s="1">
        <v>2</v>
      </c>
      <c r="G242" s="1">
        <v>0</v>
      </c>
      <c r="H242" s="1" t="s">
        <v>22</v>
      </c>
      <c r="I242" s="1">
        <v>20</v>
      </c>
      <c r="J242">
        <f>_xlfn.XLOOKUP(D242,[1]products!$A$2:$A$11,[1]products!$D$2:$D$11,"Not Found")</f>
        <v>70</v>
      </c>
      <c r="K242">
        <f t="shared" si="9"/>
        <v>140</v>
      </c>
      <c r="L242">
        <f>_xlfn.XLOOKUP(D242,[1]products!$A$2:$A$11,[1]products!$E$2:$E$11,"Not Found")</f>
        <v>22.4</v>
      </c>
      <c r="M242">
        <f t="shared" si="10"/>
        <v>75.2</v>
      </c>
      <c r="N242" t="str">
        <f>_xlfn.XLOOKUP(C242,[2]customers!$A$2:$A$81,[2]customers!$C$2:$C$81,"Not Found")</f>
        <v>North</v>
      </c>
      <c r="O242" t="str">
        <f>_xlfn.XLOOKUP(D242,[1]products!$A$2:$A$11,[1]products!$C$2:$C$11,"Not Found")</f>
        <v>Blender</v>
      </c>
      <c r="P242" t="str">
        <f>_xlfn.XLOOKUP(C242,[2]customers!$A$2:$A$81,[2]customers!$E$2:$E$81,"Not Found")</f>
        <v>Corporate</v>
      </c>
      <c r="Q242" t="str">
        <f t="shared" si="11"/>
        <v>May</v>
      </c>
    </row>
    <row r="243" spans="1:17" x14ac:dyDescent="0.3">
      <c r="A243" s="1" t="s">
        <v>342</v>
      </c>
      <c r="B243" s="2">
        <v>45780</v>
      </c>
      <c r="C243" s="1" t="s">
        <v>226</v>
      </c>
      <c r="D243" s="1" t="s">
        <v>74</v>
      </c>
      <c r="E243" s="1" t="s">
        <v>26</v>
      </c>
      <c r="F243" s="1">
        <v>1</v>
      </c>
      <c r="G243" s="1">
        <v>0.15</v>
      </c>
      <c r="H243" s="1" t="s">
        <v>13</v>
      </c>
      <c r="I243" s="1">
        <v>8</v>
      </c>
      <c r="J243">
        <f>_xlfn.XLOOKUP(D243,[1]products!$A$2:$A$11,[1]products!$D$2:$D$11,"Not Found")</f>
        <v>90</v>
      </c>
      <c r="K243">
        <f t="shared" si="9"/>
        <v>76.5</v>
      </c>
      <c r="L243">
        <f>_xlfn.XLOOKUP(D243,[1]products!$A$2:$A$11,[1]products!$E$2:$E$11,"Not Found")</f>
        <v>25.2</v>
      </c>
      <c r="M243">
        <f t="shared" si="10"/>
        <v>43.3</v>
      </c>
      <c r="N243" t="str">
        <f>_xlfn.XLOOKUP(C243,[2]customers!$A$2:$A$81,[2]customers!$C$2:$C$81,"Not Found")</f>
        <v>West</v>
      </c>
      <c r="O243" t="str">
        <f>_xlfn.XLOOKUP(D243,[1]products!$A$2:$A$11,[1]products!$C$2:$C$11,"Not Found")</f>
        <v>Headphones</v>
      </c>
      <c r="P243" t="str">
        <f>_xlfn.XLOOKUP(C243,[2]customers!$A$2:$A$81,[2]customers!$E$2:$E$81,"Not Found")</f>
        <v>Home Office</v>
      </c>
      <c r="Q243" t="str">
        <f t="shared" si="11"/>
        <v>May</v>
      </c>
    </row>
    <row r="244" spans="1:17" x14ac:dyDescent="0.3">
      <c r="A244" s="1" t="s">
        <v>343</v>
      </c>
      <c r="B244" s="2">
        <v>45827</v>
      </c>
      <c r="C244" s="1" t="s">
        <v>24</v>
      </c>
      <c r="D244" s="1" t="s">
        <v>11</v>
      </c>
      <c r="E244" s="1" t="s">
        <v>50</v>
      </c>
      <c r="F244" s="1">
        <v>2</v>
      </c>
      <c r="G244" s="1">
        <v>0</v>
      </c>
      <c r="H244" s="1" t="s">
        <v>13</v>
      </c>
      <c r="I244" s="1">
        <v>8</v>
      </c>
      <c r="J244">
        <f>_xlfn.XLOOKUP(D244,[1]products!$A$2:$A$11,[1]products!$D$2:$D$11,"Not Found")</f>
        <v>180</v>
      </c>
      <c r="K244">
        <f t="shared" si="9"/>
        <v>360</v>
      </c>
      <c r="L244">
        <f>_xlfn.XLOOKUP(D244,[1]products!$A$2:$A$11,[1]products!$E$2:$E$11,"Not Found")</f>
        <v>54</v>
      </c>
      <c r="M244">
        <f t="shared" si="10"/>
        <v>244</v>
      </c>
      <c r="N244" t="str">
        <f>_xlfn.XLOOKUP(C244,[2]customers!$A$2:$A$81,[2]customers!$C$2:$C$81,"Not Found")</f>
        <v>North</v>
      </c>
      <c r="O244" t="str">
        <f>_xlfn.XLOOKUP(D244,[1]products!$A$2:$A$11,[1]products!$C$2:$C$11,"Not Found")</f>
        <v>Office Chair</v>
      </c>
      <c r="P244" t="str">
        <f>_xlfn.XLOOKUP(C244,[2]customers!$A$2:$A$81,[2]customers!$E$2:$E$81,"Not Found")</f>
        <v>Consumer</v>
      </c>
      <c r="Q244" t="str">
        <f t="shared" si="11"/>
        <v>June</v>
      </c>
    </row>
    <row r="245" spans="1:17" x14ac:dyDescent="0.3">
      <c r="A245" s="1" t="s">
        <v>344</v>
      </c>
      <c r="B245" s="2">
        <v>45901</v>
      </c>
      <c r="C245" s="1" t="s">
        <v>275</v>
      </c>
      <c r="D245" s="1" t="s">
        <v>25</v>
      </c>
      <c r="E245" s="1" t="s">
        <v>50</v>
      </c>
      <c r="F245" s="1">
        <v>5</v>
      </c>
      <c r="G245" s="1">
        <v>0</v>
      </c>
      <c r="H245" s="1" t="s">
        <v>13</v>
      </c>
      <c r="I245" s="1">
        <v>20</v>
      </c>
      <c r="J245">
        <f>_xlfn.XLOOKUP(D245,[1]products!$A$2:$A$11,[1]products!$D$2:$D$11,"Not Found")</f>
        <v>850</v>
      </c>
      <c r="K245">
        <f t="shared" si="9"/>
        <v>4250</v>
      </c>
      <c r="L245">
        <f>_xlfn.XLOOKUP(D245,[1]products!$A$2:$A$11,[1]products!$E$2:$E$11,"Not Found")</f>
        <v>187</v>
      </c>
      <c r="M245">
        <f t="shared" si="10"/>
        <v>3295</v>
      </c>
      <c r="N245" t="str">
        <f>_xlfn.XLOOKUP(C245,[2]customers!$A$2:$A$81,[2]customers!$C$2:$C$81,"Not Found")</f>
        <v>South</v>
      </c>
      <c r="O245" t="str">
        <f>_xlfn.XLOOKUP(D245,[1]products!$A$2:$A$11,[1]products!$C$2:$C$11,"Not Found")</f>
        <v>Laptop</v>
      </c>
      <c r="P245" t="str">
        <f>_xlfn.XLOOKUP(C245,[2]customers!$A$2:$A$81,[2]customers!$E$2:$E$81,"Not Found")</f>
        <v>Corporate</v>
      </c>
      <c r="Q245" t="str">
        <f t="shared" si="11"/>
        <v>September</v>
      </c>
    </row>
    <row r="246" spans="1:17" x14ac:dyDescent="0.3">
      <c r="A246" s="1" t="s">
        <v>345</v>
      </c>
      <c r="B246" s="2">
        <v>45703</v>
      </c>
      <c r="C246" s="1" t="s">
        <v>61</v>
      </c>
      <c r="D246" s="1" t="s">
        <v>21</v>
      </c>
      <c r="E246" s="1" t="s">
        <v>53</v>
      </c>
      <c r="F246" s="1">
        <v>3</v>
      </c>
      <c r="G246" s="1">
        <v>0.05</v>
      </c>
      <c r="H246" s="1" t="s">
        <v>13</v>
      </c>
      <c r="I246" s="1">
        <v>10</v>
      </c>
      <c r="J246">
        <f>_xlfn.XLOOKUP(D246,[1]products!$A$2:$A$11,[1]products!$D$2:$D$11,"Not Found")</f>
        <v>320</v>
      </c>
      <c r="K246">
        <f t="shared" si="9"/>
        <v>912</v>
      </c>
      <c r="L246">
        <f>_xlfn.XLOOKUP(D246,[1]products!$A$2:$A$11,[1]products!$E$2:$E$11,"Not Found")</f>
        <v>86.4</v>
      </c>
      <c r="M246">
        <f t="shared" si="10"/>
        <v>642.79999999999995</v>
      </c>
      <c r="N246" t="str">
        <f>_xlfn.XLOOKUP(C246,[2]customers!$A$2:$A$81,[2]customers!$C$2:$C$81,"Not Found")</f>
        <v>North</v>
      </c>
      <c r="O246" t="str">
        <f>_xlfn.XLOOKUP(D246,[1]products!$A$2:$A$11,[1]products!$C$2:$C$11,"Not Found")</f>
        <v>Desk</v>
      </c>
      <c r="P246" t="str">
        <f>_xlfn.XLOOKUP(C246,[2]customers!$A$2:$A$81,[2]customers!$E$2:$E$81,"Not Found")</f>
        <v>Corporate</v>
      </c>
      <c r="Q246" t="str">
        <f t="shared" si="11"/>
        <v>February</v>
      </c>
    </row>
    <row r="247" spans="1:17" x14ac:dyDescent="0.3">
      <c r="A247" s="1" t="s">
        <v>346</v>
      </c>
      <c r="B247" s="2">
        <v>45748</v>
      </c>
      <c r="C247" s="1" t="s">
        <v>18</v>
      </c>
      <c r="D247" s="1" t="s">
        <v>25</v>
      </c>
      <c r="E247" s="1" t="s">
        <v>16</v>
      </c>
      <c r="F247" s="1">
        <v>2</v>
      </c>
      <c r="G247" s="1">
        <v>0.1</v>
      </c>
      <c r="H247" s="1" t="s">
        <v>22</v>
      </c>
      <c r="I247" s="1">
        <v>15</v>
      </c>
      <c r="J247">
        <f>_xlfn.XLOOKUP(D247,[1]products!$A$2:$A$11,[1]products!$D$2:$D$11,"Not Found")</f>
        <v>850</v>
      </c>
      <c r="K247">
        <f t="shared" si="9"/>
        <v>1530</v>
      </c>
      <c r="L247">
        <f>_xlfn.XLOOKUP(D247,[1]products!$A$2:$A$11,[1]products!$E$2:$E$11,"Not Found")</f>
        <v>187</v>
      </c>
      <c r="M247">
        <f t="shared" si="10"/>
        <v>1141</v>
      </c>
      <c r="N247" t="str">
        <f>_xlfn.XLOOKUP(C247,[2]customers!$A$2:$A$81,[2]customers!$C$2:$C$81,"Not Found")</f>
        <v>West</v>
      </c>
      <c r="O247" t="str">
        <f>_xlfn.XLOOKUP(D247,[1]products!$A$2:$A$11,[1]products!$C$2:$C$11,"Not Found")</f>
        <v>Laptop</v>
      </c>
      <c r="P247" t="str">
        <f>_xlfn.XLOOKUP(C247,[2]customers!$A$2:$A$81,[2]customers!$E$2:$E$81,"Not Found")</f>
        <v>Corporate</v>
      </c>
      <c r="Q247" t="str">
        <f t="shared" si="11"/>
        <v>April</v>
      </c>
    </row>
    <row r="248" spans="1:17" x14ac:dyDescent="0.3">
      <c r="A248" s="1" t="s">
        <v>347</v>
      </c>
      <c r="B248" s="2">
        <v>45948</v>
      </c>
      <c r="C248" s="1" t="s">
        <v>123</v>
      </c>
      <c r="D248" s="1" t="s">
        <v>74</v>
      </c>
      <c r="E248" s="1" t="s">
        <v>53</v>
      </c>
      <c r="F248" s="1">
        <v>3</v>
      </c>
      <c r="G248" s="1">
        <v>0</v>
      </c>
      <c r="H248" s="1" t="s">
        <v>13</v>
      </c>
      <c r="I248" s="1">
        <v>8</v>
      </c>
      <c r="J248">
        <f>_xlfn.XLOOKUP(D248,[1]products!$A$2:$A$11,[1]products!$D$2:$D$11,"Not Found")</f>
        <v>90</v>
      </c>
      <c r="K248">
        <f t="shared" si="9"/>
        <v>270</v>
      </c>
      <c r="L248">
        <f>_xlfn.XLOOKUP(D248,[1]products!$A$2:$A$11,[1]products!$E$2:$E$11,"Not Found")</f>
        <v>25.2</v>
      </c>
      <c r="M248">
        <f t="shared" si="10"/>
        <v>186.4</v>
      </c>
      <c r="N248" t="str">
        <f>_xlfn.XLOOKUP(C248,[2]customers!$A$2:$A$81,[2]customers!$C$2:$C$81,"Not Found")</f>
        <v>East</v>
      </c>
      <c r="O248" t="str">
        <f>_xlfn.XLOOKUP(D248,[1]products!$A$2:$A$11,[1]products!$C$2:$C$11,"Not Found")</f>
        <v>Headphones</v>
      </c>
      <c r="P248" t="str">
        <f>_xlfn.XLOOKUP(C248,[2]customers!$A$2:$A$81,[2]customers!$E$2:$E$81,"Not Found")</f>
        <v>Consumer</v>
      </c>
      <c r="Q248" t="str">
        <f t="shared" si="11"/>
        <v>October</v>
      </c>
    </row>
    <row r="249" spans="1:17" x14ac:dyDescent="0.3">
      <c r="A249" s="1" t="s">
        <v>348</v>
      </c>
      <c r="B249" s="2">
        <v>45726</v>
      </c>
      <c r="C249" s="1" t="s">
        <v>94</v>
      </c>
      <c r="D249" s="1" t="s">
        <v>21</v>
      </c>
      <c r="E249" s="1" t="s">
        <v>53</v>
      </c>
      <c r="F249" s="1">
        <v>4</v>
      </c>
      <c r="G249" s="1">
        <v>0.15</v>
      </c>
      <c r="H249" s="1" t="s">
        <v>13</v>
      </c>
      <c r="I249" s="1">
        <v>15</v>
      </c>
      <c r="J249">
        <f>_xlfn.XLOOKUP(D249,[1]products!$A$2:$A$11,[1]products!$D$2:$D$11,"Not Found")</f>
        <v>320</v>
      </c>
      <c r="K249">
        <f t="shared" si="9"/>
        <v>1088</v>
      </c>
      <c r="L249">
        <f>_xlfn.XLOOKUP(D249,[1]products!$A$2:$A$11,[1]products!$E$2:$E$11,"Not Found")</f>
        <v>86.4</v>
      </c>
      <c r="M249">
        <f t="shared" si="10"/>
        <v>727.4</v>
      </c>
      <c r="N249" t="str">
        <f>_xlfn.XLOOKUP(C249,[2]customers!$A$2:$A$81,[2]customers!$C$2:$C$81,"Not Found")</f>
        <v>South</v>
      </c>
      <c r="O249" t="str">
        <f>_xlfn.XLOOKUP(D249,[1]products!$A$2:$A$11,[1]products!$C$2:$C$11,"Not Found")</f>
        <v>Desk</v>
      </c>
      <c r="P249" t="str">
        <f>_xlfn.XLOOKUP(C249,[2]customers!$A$2:$A$81,[2]customers!$E$2:$E$81,"Not Found")</f>
        <v>Consumer</v>
      </c>
      <c r="Q249" t="str">
        <f t="shared" si="11"/>
        <v>March</v>
      </c>
    </row>
    <row r="250" spans="1:17" x14ac:dyDescent="0.3">
      <c r="A250" s="1" t="s">
        <v>349</v>
      </c>
      <c r="B250" s="2">
        <v>45892</v>
      </c>
      <c r="C250" s="1" t="s">
        <v>226</v>
      </c>
      <c r="D250" s="1" t="s">
        <v>11</v>
      </c>
      <c r="E250" s="1" t="s">
        <v>12</v>
      </c>
      <c r="F250" s="1">
        <v>1</v>
      </c>
      <c r="G250" s="1">
        <v>0.05</v>
      </c>
      <c r="H250" s="1" t="s">
        <v>13</v>
      </c>
      <c r="I250" s="1">
        <v>20</v>
      </c>
      <c r="J250">
        <f>_xlfn.XLOOKUP(D250,[1]products!$A$2:$A$11,[1]products!$D$2:$D$11,"Not Found")</f>
        <v>180</v>
      </c>
      <c r="K250">
        <f t="shared" si="9"/>
        <v>171</v>
      </c>
      <c r="L250">
        <f>_xlfn.XLOOKUP(D250,[1]products!$A$2:$A$11,[1]products!$E$2:$E$11,"Not Found")</f>
        <v>54</v>
      </c>
      <c r="M250">
        <f t="shared" si="10"/>
        <v>97</v>
      </c>
      <c r="N250" t="str">
        <f>_xlfn.XLOOKUP(C250,[2]customers!$A$2:$A$81,[2]customers!$C$2:$C$81,"Not Found")</f>
        <v>West</v>
      </c>
      <c r="O250" t="str">
        <f>_xlfn.XLOOKUP(D250,[1]products!$A$2:$A$11,[1]products!$C$2:$C$11,"Not Found")</f>
        <v>Office Chair</v>
      </c>
      <c r="P250" t="str">
        <f>_xlfn.XLOOKUP(C250,[2]customers!$A$2:$A$81,[2]customers!$E$2:$E$81,"Not Found")</f>
        <v>Home Office</v>
      </c>
      <c r="Q250" t="str">
        <f t="shared" si="11"/>
        <v>August</v>
      </c>
    </row>
    <row r="251" spans="1:17" x14ac:dyDescent="0.3">
      <c r="A251" s="1" t="s">
        <v>350</v>
      </c>
      <c r="B251" s="2">
        <v>45756</v>
      </c>
      <c r="C251" s="1" t="s">
        <v>351</v>
      </c>
      <c r="D251" s="1" t="s">
        <v>25</v>
      </c>
      <c r="E251" s="1" t="s">
        <v>26</v>
      </c>
      <c r="F251" s="1">
        <v>3</v>
      </c>
      <c r="G251" s="1">
        <v>0.05</v>
      </c>
      <c r="H251" s="1" t="s">
        <v>13</v>
      </c>
      <c r="I251" s="1">
        <v>18</v>
      </c>
      <c r="J251">
        <f>_xlfn.XLOOKUP(D251,[1]products!$A$2:$A$11,[1]products!$D$2:$D$11,"Not Found")</f>
        <v>850</v>
      </c>
      <c r="K251">
        <f t="shared" si="9"/>
        <v>2422.5</v>
      </c>
      <c r="L251">
        <f>_xlfn.XLOOKUP(D251,[1]products!$A$2:$A$11,[1]products!$E$2:$E$11,"Not Found")</f>
        <v>187</v>
      </c>
      <c r="M251">
        <f t="shared" si="10"/>
        <v>1843.5</v>
      </c>
      <c r="N251" t="str">
        <f>_xlfn.XLOOKUP(C251,[2]customers!$A$2:$A$81,[2]customers!$C$2:$C$81,"Not Found")</f>
        <v>East</v>
      </c>
      <c r="O251" t="str">
        <f>_xlfn.XLOOKUP(D251,[1]products!$A$2:$A$11,[1]products!$C$2:$C$11,"Not Found")</f>
        <v>Laptop</v>
      </c>
      <c r="P251" t="str">
        <f>_xlfn.XLOOKUP(C251,[2]customers!$A$2:$A$81,[2]customers!$E$2:$E$81,"Not Found")</f>
        <v>Consumer</v>
      </c>
      <c r="Q251" t="str">
        <f t="shared" si="11"/>
        <v>April</v>
      </c>
    </row>
    <row r="252" spans="1:17" x14ac:dyDescent="0.3">
      <c r="A252" s="1" t="s">
        <v>352</v>
      </c>
      <c r="B252" s="2">
        <v>46000</v>
      </c>
      <c r="C252" s="1" t="s">
        <v>353</v>
      </c>
      <c r="D252" s="1" t="s">
        <v>43</v>
      </c>
      <c r="E252" s="1" t="s">
        <v>16</v>
      </c>
      <c r="F252" s="1">
        <v>5</v>
      </c>
      <c r="G252" s="1">
        <v>0.05</v>
      </c>
      <c r="H252" s="1" t="s">
        <v>13</v>
      </c>
      <c r="I252" s="1">
        <v>10</v>
      </c>
      <c r="J252">
        <f>_xlfn.XLOOKUP(D252,[1]products!$A$2:$A$11,[1]products!$D$2:$D$11,"Not Found")</f>
        <v>160</v>
      </c>
      <c r="K252">
        <f t="shared" si="9"/>
        <v>760</v>
      </c>
      <c r="L252">
        <f>_xlfn.XLOOKUP(D252,[1]products!$A$2:$A$11,[1]products!$E$2:$E$11,"Not Found")</f>
        <v>38.4</v>
      </c>
      <c r="M252">
        <f t="shared" si="10"/>
        <v>558</v>
      </c>
      <c r="N252" t="str">
        <f>_xlfn.XLOOKUP(C252,[2]customers!$A$2:$A$81,[2]customers!$C$2:$C$81,"Not Found")</f>
        <v>South</v>
      </c>
      <c r="O252" t="str">
        <f>_xlfn.XLOOKUP(D252,[1]products!$A$2:$A$11,[1]products!$C$2:$C$11,"Not Found")</f>
        <v>Microwave</v>
      </c>
      <c r="P252" t="str">
        <f>_xlfn.XLOOKUP(C252,[2]customers!$A$2:$A$81,[2]customers!$E$2:$E$81,"Not Found")</f>
        <v>Consumer</v>
      </c>
      <c r="Q252" t="str">
        <f t="shared" si="11"/>
        <v>December</v>
      </c>
    </row>
    <row r="253" spans="1:17" x14ac:dyDescent="0.3">
      <c r="A253" s="1" t="s">
        <v>354</v>
      </c>
      <c r="B253" s="2">
        <v>45854</v>
      </c>
      <c r="C253" s="1" t="s">
        <v>275</v>
      </c>
      <c r="D253" s="1" t="s">
        <v>79</v>
      </c>
      <c r="E253" s="1" t="s">
        <v>26</v>
      </c>
      <c r="F253" s="1">
        <v>3</v>
      </c>
      <c r="G253" s="1">
        <v>0</v>
      </c>
      <c r="H253" s="1" t="s">
        <v>13</v>
      </c>
      <c r="I253" s="1">
        <v>15</v>
      </c>
      <c r="J253">
        <f>_xlfn.XLOOKUP(D253,[1]products!$A$2:$A$11,[1]products!$D$2:$D$11,"Not Found")</f>
        <v>70</v>
      </c>
      <c r="K253">
        <f t="shared" si="9"/>
        <v>210</v>
      </c>
      <c r="L253">
        <f>_xlfn.XLOOKUP(D253,[1]products!$A$2:$A$11,[1]products!$E$2:$E$11,"Not Found")</f>
        <v>22.4</v>
      </c>
      <c r="M253">
        <f t="shared" si="10"/>
        <v>127.80000000000001</v>
      </c>
      <c r="N253" t="str">
        <f>_xlfn.XLOOKUP(C253,[2]customers!$A$2:$A$81,[2]customers!$C$2:$C$81,"Not Found")</f>
        <v>South</v>
      </c>
      <c r="O253" t="str">
        <f>_xlfn.XLOOKUP(D253,[1]products!$A$2:$A$11,[1]products!$C$2:$C$11,"Not Found")</f>
        <v>Blender</v>
      </c>
      <c r="P253" t="str">
        <f>_xlfn.XLOOKUP(C253,[2]customers!$A$2:$A$81,[2]customers!$E$2:$E$81,"Not Found")</f>
        <v>Corporate</v>
      </c>
      <c r="Q253" t="str">
        <f t="shared" si="11"/>
        <v>July</v>
      </c>
    </row>
    <row r="254" spans="1:17" x14ac:dyDescent="0.3">
      <c r="A254" s="1" t="s">
        <v>355</v>
      </c>
      <c r="B254" s="2">
        <v>45663</v>
      </c>
      <c r="C254" s="1" t="s">
        <v>226</v>
      </c>
      <c r="D254" s="1" t="s">
        <v>38</v>
      </c>
      <c r="E254" s="1" t="s">
        <v>12</v>
      </c>
      <c r="F254" s="1">
        <v>3</v>
      </c>
      <c r="G254" s="1">
        <v>0.15</v>
      </c>
      <c r="H254" s="1" t="s">
        <v>13</v>
      </c>
      <c r="I254" s="1">
        <v>20</v>
      </c>
      <c r="J254">
        <f>_xlfn.XLOOKUP(D254,[1]products!$A$2:$A$11,[1]products!$D$2:$D$11,"Not Found")</f>
        <v>210</v>
      </c>
      <c r="K254">
        <f t="shared" si="9"/>
        <v>535.5</v>
      </c>
      <c r="L254">
        <f>_xlfn.XLOOKUP(D254,[1]products!$A$2:$A$11,[1]products!$E$2:$E$11,"Not Found")</f>
        <v>52.5</v>
      </c>
      <c r="M254">
        <f t="shared" si="10"/>
        <v>358</v>
      </c>
      <c r="N254" t="str">
        <f>_xlfn.XLOOKUP(C254,[2]customers!$A$2:$A$81,[2]customers!$C$2:$C$81,"Not Found")</f>
        <v>West</v>
      </c>
      <c r="O254" t="str">
        <f>_xlfn.XLOOKUP(D254,[1]products!$A$2:$A$11,[1]products!$C$2:$C$11,"Not Found")</f>
        <v>Bookshelf</v>
      </c>
      <c r="P254" t="str">
        <f>_xlfn.XLOOKUP(C254,[2]customers!$A$2:$A$81,[2]customers!$E$2:$E$81,"Not Found")</f>
        <v>Home Office</v>
      </c>
      <c r="Q254" t="str">
        <f t="shared" si="11"/>
        <v>January</v>
      </c>
    </row>
    <row r="255" spans="1:17" x14ac:dyDescent="0.3">
      <c r="A255" s="1" t="s">
        <v>356</v>
      </c>
      <c r="B255" s="2">
        <v>45739</v>
      </c>
      <c r="C255" s="1" t="s">
        <v>40</v>
      </c>
      <c r="D255" s="1" t="s">
        <v>11</v>
      </c>
      <c r="E255" s="1" t="s">
        <v>50</v>
      </c>
      <c r="F255" s="1">
        <v>1</v>
      </c>
      <c r="G255" s="1">
        <v>0</v>
      </c>
      <c r="H255" s="1" t="s">
        <v>13</v>
      </c>
      <c r="I255" s="1">
        <v>20</v>
      </c>
      <c r="J255">
        <f>_xlfn.XLOOKUP(D255,[1]products!$A$2:$A$11,[1]products!$D$2:$D$11,"Not Found")</f>
        <v>180</v>
      </c>
      <c r="K255">
        <f t="shared" si="9"/>
        <v>180</v>
      </c>
      <c r="L255">
        <f>_xlfn.XLOOKUP(D255,[1]products!$A$2:$A$11,[1]products!$E$2:$E$11,"Not Found")</f>
        <v>54</v>
      </c>
      <c r="M255">
        <f t="shared" si="10"/>
        <v>106</v>
      </c>
      <c r="N255" t="str">
        <f>_xlfn.XLOOKUP(C255,[2]customers!$A$2:$A$81,[2]customers!$C$2:$C$81,"Not Found")</f>
        <v>North</v>
      </c>
      <c r="O255" t="str">
        <f>_xlfn.XLOOKUP(D255,[1]products!$A$2:$A$11,[1]products!$C$2:$C$11,"Not Found")</f>
        <v>Office Chair</v>
      </c>
      <c r="P255" t="str">
        <f>_xlfn.XLOOKUP(C255,[2]customers!$A$2:$A$81,[2]customers!$E$2:$E$81,"Not Found")</f>
        <v>Home Office</v>
      </c>
      <c r="Q255" t="str">
        <f t="shared" si="11"/>
        <v>March</v>
      </c>
    </row>
    <row r="256" spans="1:17" x14ac:dyDescent="0.3">
      <c r="A256" s="1" t="s">
        <v>357</v>
      </c>
      <c r="B256" s="2">
        <v>45771</v>
      </c>
      <c r="C256" s="1" t="s">
        <v>154</v>
      </c>
      <c r="D256" s="1" t="s">
        <v>21</v>
      </c>
      <c r="E256" s="1" t="s">
        <v>26</v>
      </c>
      <c r="F256" s="1">
        <v>1</v>
      </c>
      <c r="G256" s="1">
        <v>0.05</v>
      </c>
      <c r="H256" s="1" t="s">
        <v>13</v>
      </c>
      <c r="I256" s="1">
        <v>10</v>
      </c>
      <c r="J256">
        <f>_xlfn.XLOOKUP(D256,[1]products!$A$2:$A$11,[1]products!$D$2:$D$11,"Not Found")</f>
        <v>320</v>
      </c>
      <c r="K256">
        <f t="shared" si="9"/>
        <v>304</v>
      </c>
      <c r="L256">
        <f>_xlfn.XLOOKUP(D256,[1]products!$A$2:$A$11,[1]products!$E$2:$E$11,"Not Found")</f>
        <v>86.4</v>
      </c>
      <c r="M256">
        <f t="shared" si="10"/>
        <v>207.6</v>
      </c>
      <c r="N256" t="str">
        <f>_xlfn.XLOOKUP(C256,[2]customers!$A$2:$A$81,[2]customers!$C$2:$C$81,"Not Found")</f>
        <v>North</v>
      </c>
      <c r="O256" t="str">
        <f>_xlfn.XLOOKUP(D256,[1]products!$A$2:$A$11,[1]products!$C$2:$C$11,"Not Found")</f>
        <v>Desk</v>
      </c>
      <c r="P256" t="str">
        <f>_xlfn.XLOOKUP(C256,[2]customers!$A$2:$A$81,[2]customers!$E$2:$E$81,"Not Found")</f>
        <v>Consumer</v>
      </c>
      <c r="Q256" t="str">
        <f t="shared" si="11"/>
        <v>April</v>
      </c>
    </row>
    <row r="257" spans="1:17" x14ac:dyDescent="0.3">
      <c r="A257" s="1" t="s">
        <v>358</v>
      </c>
      <c r="B257" s="2">
        <v>46017</v>
      </c>
      <c r="C257" s="1" t="s">
        <v>119</v>
      </c>
      <c r="D257" s="1" t="s">
        <v>74</v>
      </c>
      <c r="E257" s="1" t="s">
        <v>53</v>
      </c>
      <c r="F257" s="1">
        <v>4</v>
      </c>
      <c r="G257" s="1">
        <v>0.15</v>
      </c>
      <c r="H257" s="1" t="s">
        <v>13</v>
      </c>
      <c r="I257" s="1">
        <v>15</v>
      </c>
      <c r="J257">
        <f>_xlfn.XLOOKUP(D257,[1]products!$A$2:$A$11,[1]products!$D$2:$D$11,"Not Found")</f>
        <v>90</v>
      </c>
      <c r="K257">
        <f t="shared" si="9"/>
        <v>306</v>
      </c>
      <c r="L257">
        <f>_xlfn.XLOOKUP(D257,[1]products!$A$2:$A$11,[1]products!$E$2:$E$11,"Not Found")</f>
        <v>25.2</v>
      </c>
      <c r="M257">
        <f t="shared" si="10"/>
        <v>190.2</v>
      </c>
      <c r="N257" t="str">
        <f>_xlfn.XLOOKUP(C257,[2]customers!$A$2:$A$81,[2]customers!$C$2:$C$81,"Not Found")</f>
        <v>West</v>
      </c>
      <c r="O257" t="str">
        <f>_xlfn.XLOOKUP(D257,[1]products!$A$2:$A$11,[1]products!$C$2:$C$11,"Not Found")</f>
        <v>Headphones</v>
      </c>
      <c r="P257" t="str">
        <f>_xlfn.XLOOKUP(C257,[2]customers!$A$2:$A$81,[2]customers!$E$2:$E$81,"Not Found")</f>
        <v>Consumer</v>
      </c>
      <c r="Q257" t="str">
        <f t="shared" si="11"/>
        <v>December</v>
      </c>
    </row>
    <row r="258" spans="1:17" x14ac:dyDescent="0.3">
      <c r="A258" s="1" t="s">
        <v>359</v>
      </c>
      <c r="B258" s="2">
        <v>45699</v>
      </c>
      <c r="C258" s="1" t="s">
        <v>18</v>
      </c>
      <c r="D258" s="1" t="s">
        <v>11</v>
      </c>
      <c r="E258" s="1" t="s">
        <v>53</v>
      </c>
      <c r="F258" s="1">
        <v>2</v>
      </c>
      <c r="G258" s="1">
        <v>0.15</v>
      </c>
      <c r="H258" s="1" t="s">
        <v>22</v>
      </c>
      <c r="I258" s="1">
        <v>15</v>
      </c>
      <c r="J258">
        <f>_xlfn.XLOOKUP(D258,[1]products!$A$2:$A$11,[1]products!$D$2:$D$11,"Not Found")</f>
        <v>180</v>
      </c>
      <c r="K258">
        <f t="shared" si="9"/>
        <v>306</v>
      </c>
      <c r="L258">
        <f>_xlfn.XLOOKUP(D258,[1]products!$A$2:$A$11,[1]products!$E$2:$E$11,"Not Found")</f>
        <v>54</v>
      </c>
      <c r="M258">
        <f t="shared" si="10"/>
        <v>183</v>
      </c>
      <c r="N258" t="str">
        <f>_xlfn.XLOOKUP(C258,[2]customers!$A$2:$A$81,[2]customers!$C$2:$C$81,"Not Found")</f>
        <v>West</v>
      </c>
      <c r="O258" t="str">
        <f>_xlfn.XLOOKUP(D258,[1]products!$A$2:$A$11,[1]products!$C$2:$C$11,"Not Found")</f>
        <v>Office Chair</v>
      </c>
      <c r="P258" t="str">
        <f>_xlfn.XLOOKUP(C258,[2]customers!$A$2:$A$81,[2]customers!$E$2:$E$81,"Not Found")</f>
        <v>Corporate</v>
      </c>
      <c r="Q258" t="str">
        <f t="shared" si="11"/>
        <v>February</v>
      </c>
    </row>
    <row r="259" spans="1:17" x14ac:dyDescent="0.3">
      <c r="A259" s="1" t="s">
        <v>360</v>
      </c>
      <c r="B259" s="2">
        <v>45938</v>
      </c>
      <c r="C259" s="1" t="s">
        <v>24</v>
      </c>
      <c r="D259" s="1" t="s">
        <v>38</v>
      </c>
      <c r="E259" s="1" t="s">
        <v>53</v>
      </c>
      <c r="F259" s="1">
        <v>1</v>
      </c>
      <c r="G259" s="1">
        <v>0.15</v>
      </c>
      <c r="H259" s="1" t="s">
        <v>13</v>
      </c>
      <c r="I259" s="1">
        <v>10</v>
      </c>
      <c r="J259">
        <f>_xlfn.XLOOKUP(D259,[1]products!$A$2:$A$11,[1]products!$D$2:$D$11,"Not Found")</f>
        <v>210</v>
      </c>
      <c r="K259">
        <f t="shared" ref="K259:K321" si="12">F259*J259*(1-G259 )</f>
        <v>178.5</v>
      </c>
      <c r="L259">
        <f>_xlfn.XLOOKUP(D259,[1]products!$A$2:$A$11,[1]products!$E$2:$E$11,"Not Found")</f>
        <v>52.5</v>
      </c>
      <c r="M259">
        <f t="shared" ref="M259:M321" si="13">K259-(F259*L259)-I259</f>
        <v>116</v>
      </c>
      <c r="N259" t="str">
        <f>_xlfn.XLOOKUP(C259,[2]customers!$A$2:$A$81,[2]customers!$C$2:$C$81,"Not Found")</f>
        <v>North</v>
      </c>
      <c r="O259" t="str">
        <f>_xlfn.XLOOKUP(D259,[1]products!$A$2:$A$11,[1]products!$C$2:$C$11,"Not Found")</f>
        <v>Bookshelf</v>
      </c>
      <c r="P259" t="str">
        <f>_xlfn.XLOOKUP(C259,[2]customers!$A$2:$A$81,[2]customers!$E$2:$E$81,"Not Found")</f>
        <v>Consumer</v>
      </c>
      <c r="Q259" t="str">
        <f t="shared" ref="Q259:Q321" si="14">TEXT(B259,"mmmm")</f>
        <v>October</v>
      </c>
    </row>
    <row r="260" spans="1:17" x14ac:dyDescent="0.3">
      <c r="A260" s="1" t="s">
        <v>361</v>
      </c>
      <c r="B260" s="2">
        <v>45924</v>
      </c>
      <c r="C260" s="1" t="s">
        <v>59</v>
      </c>
      <c r="D260" s="1" t="s">
        <v>35</v>
      </c>
      <c r="E260" s="1" t="s">
        <v>50</v>
      </c>
      <c r="F260" s="1">
        <v>2</v>
      </c>
      <c r="G260" s="1">
        <v>0</v>
      </c>
      <c r="H260" s="1" t="s">
        <v>13</v>
      </c>
      <c r="I260" s="1">
        <v>8</v>
      </c>
      <c r="J260">
        <f>_xlfn.XLOOKUP(D260,[1]products!$A$2:$A$11,[1]products!$D$2:$D$11,"Not Found")</f>
        <v>130</v>
      </c>
      <c r="K260">
        <f t="shared" si="12"/>
        <v>260</v>
      </c>
      <c r="L260">
        <f>_xlfn.XLOOKUP(D260,[1]products!$A$2:$A$11,[1]products!$E$2:$E$11,"Not Found")</f>
        <v>33.799999999999997</v>
      </c>
      <c r="M260">
        <f t="shared" si="13"/>
        <v>184.4</v>
      </c>
      <c r="N260" t="str">
        <f>_xlfn.XLOOKUP(C260,[2]customers!$A$2:$A$81,[2]customers!$C$2:$C$81,"Not Found")</f>
        <v>West</v>
      </c>
      <c r="O260" t="str">
        <f>_xlfn.XLOOKUP(D260,[1]products!$A$2:$A$11,[1]products!$C$2:$C$11,"Not Found")</f>
        <v>Air Fryer</v>
      </c>
      <c r="P260" t="str">
        <f>_xlfn.XLOOKUP(C260,[2]customers!$A$2:$A$81,[2]customers!$E$2:$E$81,"Not Found")</f>
        <v>Corporate</v>
      </c>
      <c r="Q260" t="str">
        <f t="shared" si="14"/>
        <v>September</v>
      </c>
    </row>
    <row r="261" spans="1:17" x14ac:dyDescent="0.3">
      <c r="A261" s="1" t="s">
        <v>362</v>
      </c>
      <c r="B261" s="2">
        <v>45886</v>
      </c>
      <c r="C261" s="1" t="s">
        <v>164</v>
      </c>
      <c r="D261" s="1" t="s">
        <v>71</v>
      </c>
      <c r="E261" s="1" t="s">
        <v>16</v>
      </c>
      <c r="F261" s="1">
        <v>4</v>
      </c>
      <c r="G261" s="1">
        <v>0</v>
      </c>
      <c r="H261" s="1" t="s">
        <v>22</v>
      </c>
      <c r="I261" s="1">
        <v>15</v>
      </c>
      <c r="J261">
        <f>_xlfn.XLOOKUP(D261,[1]products!$A$2:$A$11,[1]products!$D$2:$D$11,"Not Found")</f>
        <v>240</v>
      </c>
      <c r="K261">
        <f t="shared" si="12"/>
        <v>960</v>
      </c>
      <c r="L261">
        <f>_xlfn.XLOOKUP(D261,[1]products!$A$2:$A$11,[1]products!$E$2:$E$11,"Not Found")</f>
        <v>55.2</v>
      </c>
      <c r="M261">
        <f t="shared" si="13"/>
        <v>724.2</v>
      </c>
      <c r="N261" t="str">
        <f>_xlfn.XLOOKUP(C261,[2]customers!$A$2:$A$81,[2]customers!$C$2:$C$81,"Not Found")</f>
        <v>East</v>
      </c>
      <c r="O261" t="str">
        <f>_xlfn.XLOOKUP(D261,[1]products!$A$2:$A$11,[1]products!$C$2:$C$11,"Not Found")</f>
        <v>Vacuum Cleaner</v>
      </c>
      <c r="P261" t="str">
        <f>_xlfn.XLOOKUP(C261,[2]customers!$A$2:$A$81,[2]customers!$E$2:$E$81,"Not Found")</f>
        <v>Consumer</v>
      </c>
      <c r="Q261" t="str">
        <f t="shared" si="14"/>
        <v>August</v>
      </c>
    </row>
    <row r="262" spans="1:17" x14ac:dyDescent="0.3">
      <c r="A262" s="1" t="s">
        <v>363</v>
      </c>
      <c r="B262" s="2">
        <v>45944</v>
      </c>
      <c r="C262" s="1" t="s">
        <v>194</v>
      </c>
      <c r="D262" s="1" t="s">
        <v>35</v>
      </c>
      <c r="E262" s="1" t="s">
        <v>50</v>
      </c>
      <c r="F262" s="1">
        <v>4</v>
      </c>
      <c r="G262" s="1">
        <v>0.1</v>
      </c>
      <c r="H262" s="1" t="s">
        <v>13</v>
      </c>
      <c r="I262" s="1">
        <v>20</v>
      </c>
      <c r="J262">
        <f>_xlfn.XLOOKUP(D262,[1]products!$A$2:$A$11,[1]products!$D$2:$D$11,"Not Found")</f>
        <v>130</v>
      </c>
      <c r="K262">
        <f t="shared" si="12"/>
        <v>468</v>
      </c>
      <c r="L262">
        <f>_xlfn.XLOOKUP(D262,[1]products!$A$2:$A$11,[1]products!$E$2:$E$11,"Not Found")</f>
        <v>33.799999999999997</v>
      </c>
      <c r="M262">
        <f t="shared" si="13"/>
        <v>312.8</v>
      </c>
      <c r="N262" t="str">
        <f>_xlfn.XLOOKUP(C262,[2]customers!$A$2:$A$81,[2]customers!$C$2:$C$81,"Not Found")</f>
        <v>East</v>
      </c>
      <c r="O262" t="str">
        <f>_xlfn.XLOOKUP(D262,[1]products!$A$2:$A$11,[1]products!$C$2:$C$11,"Not Found")</f>
        <v>Air Fryer</v>
      </c>
      <c r="P262" t="str">
        <f>_xlfn.XLOOKUP(C262,[2]customers!$A$2:$A$81,[2]customers!$E$2:$E$81,"Not Found")</f>
        <v>Corporate</v>
      </c>
      <c r="Q262" t="str">
        <f t="shared" si="14"/>
        <v>October</v>
      </c>
    </row>
    <row r="263" spans="1:17" x14ac:dyDescent="0.3">
      <c r="A263" s="1" t="s">
        <v>364</v>
      </c>
      <c r="B263" s="2">
        <v>45769</v>
      </c>
      <c r="C263" s="1" t="s">
        <v>222</v>
      </c>
      <c r="D263" s="1" t="s">
        <v>25</v>
      </c>
      <c r="E263" s="1" t="s">
        <v>53</v>
      </c>
      <c r="F263" s="1">
        <v>4</v>
      </c>
      <c r="G263" s="1">
        <v>0.05</v>
      </c>
      <c r="H263" s="1" t="s">
        <v>22</v>
      </c>
      <c r="I263" s="1">
        <v>8</v>
      </c>
      <c r="J263">
        <f>_xlfn.XLOOKUP(D263,[1]products!$A$2:$A$11,[1]products!$D$2:$D$11,"Not Found")</f>
        <v>850</v>
      </c>
      <c r="K263">
        <f t="shared" si="12"/>
        <v>3230</v>
      </c>
      <c r="L263">
        <f>_xlfn.XLOOKUP(D263,[1]products!$A$2:$A$11,[1]products!$E$2:$E$11,"Not Found")</f>
        <v>187</v>
      </c>
      <c r="M263">
        <f t="shared" si="13"/>
        <v>2474</v>
      </c>
      <c r="N263" t="str">
        <f>_xlfn.XLOOKUP(C263,[2]customers!$A$2:$A$81,[2]customers!$C$2:$C$81,"Not Found")</f>
        <v>South</v>
      </c>
      <c r="O263" t="str">
        <f>_xlfn.XLOOKUP(D263,[1]products!$A$2:$A$11,[1]products!$C$2:$C$11,"Not Found")</f>
        <v>Laptop</v>
      </c>
      <c r="P263" t="str">
        <f>_xlfn.XLOOKUP(C263,[2]customers!$A$2:$A$81,[2]customers!$E$2:$E$81,"Not Found")</f>
        <v>Corporate</v>
      </c>
      <c r="Q263" t="str">
        <f t="shared" si="14"/>
        <v>April</v>
      </c>
    </row>
    <row r="264" spans="1:17" x14ac:dyDescent="0.3">
      <c r="A264" s="1" t="s">
        <v>365</v>
      </c>
      <c r="B264" s="2">
        <v>45688</v>
      </c>
      <c r="C264" s="1" t="s">
        <v>182</v>
      </c>
      <c r="D264" s="1" t="s">
        <v>43</v>
      </c>
      <c r="E264" s="1" t="s">
        <v>16</v>
      </c>
      <c r="F264" s="1">
        <v>3</v>
      </c>
      <c r="G264" s="1">
        <v>0</v>
      </c>
      <c r="H264" s="1" t="s">
        <v>13</v>
      </c>
      <c r="I264" s="1">
        <v>15</v>
      </c>
      <c r="J264">
        <f>_xlfn.XLOOKUP(D264,[1]products!$A$2:$A$11,[1]products!$D$2:$D$11,"Not Found")</f>
        <v>160</v>
      </c>
      <c r="K264">
        <f t="shared" si="12"/>
        <v>480</v>
      </c>
      <c r="L264">
        <f>_xlfn.XLOOKUP(D264,[1]products!$A$2:$A$11,[1]products!$E$2:$E$11,"Not Found")</f>
        <v>38.4</v>
      </c>
      <c r="M264">
        <f t="shared" si="13"/>
        <v>349.8</v>
      </c>
      <c r="N264" t="str">
        <f>_xlfn.XLOOKUP(C264,[2]customers!$A$2:$A$81,[2]customers!$C$2:$C$81,"Not Found")</f>
        <v>North</v>
      </c>
      <c r="O264" t="str">
        <f>_xlfn.XLOOKUP(D264,[1]products!$A$2:$A$11,[1]products!$C$2:$C$11,"Not Found")</f>
        <v>Microwave</v>
      </c>
      <c r="P264" t="str">
        <f>_xlfn.XLOOKUP(C264,[2]customers!$A$2:$A$81,[2]customers!$E$2:$E$81,"Not Found")</f>
        <v>Corporate</v>
      </c>
      <c r="Q264" t="str">
        <f t="shared" si="14"/>
        <v>January</v>
      </c>
    </row>
    <row r="265" spans="1:17" x14ac:dyDescent="0.3">
      <c r="A265" s="1" t="s">
        <v>366</v>
      </c>
      <c r="B265" s="2">
        <v>45986</v>
      </c>
      <c r="C265" s="1" t="s">
        <v>37</v>
      </c>
      <c r="D265" s="1" t="s">
        <v>21</v>
      </c>
      <c r="E265" s="1" t="s">
        <v>50</v>
      </c>
      <c r="F265" s="1">
        <v>4</v>
      </c>
      <c r="G265" s="1">
        <v>0</v>
      </c>
      <c r="H265" s="1" t="s">
        <v>13</v>
      </c>
      <c r="I265" s="1">
        <v>12</v>
      </c>
      <c r="J265">
        <f>_xlfn.XLOOKUP(D265,[1]products!$A$2:$A$11,[1]products!$D$2:$D$11,"Not Found")</f>
        <v>320</v>
      </c>
      <c r="K265">
        <f t="shared" si="12"/>
        <v>1280</v>
      </c>
      <c r="L265">
        <f>_xlfn.XLOOKUP(D265,[1]products!$A$2:$A$11,[1]products!$E$2:$E$11,"Not Found")</f>
        <v>86.4</v>
      </c>
      <c r="M265">
        <f t="shared" si="13"/>
        <v>922.4</v>
      </c>
      <c r="N265" t="str">
        <f>_xlfn.XLOOKUP(C265,[2]customers!$A$2:$A$81,[2]customers!$C$2:$C$81,"Not Found")</f>
        <v>West</v>
      </c>
      <c r="O265" t="str">
        <f>_xlfn.XLOOKUP(D265,[1]products!$A$2:$A$11,[1]products!$C$2:$C$11,"Not Found")</f>
        <v>Desk</v>
      </c>
      <c r="P265" t="str">
        <f>_xlfn.XLOOKUP(C265,[2]customers!$A$2:$A$81,[2]customers!$E$2:$E$81,"Not Found")</f>
        <v>Consumer</v>
      </c>
      <c r="Q265" t="str">
        <f t="shared" si="14"/>
        <v>November</v>
      </c>
    </row>
    <row r="266" spans="1:17" x14ac:dyDescent="0.3">
      <c r="A266" s="1" t="s">
        <v>367</v>
      </c>
      <c r="B266" s="2">
        <v>45996</v>
      </c>
      <c r="C266" s="1" t="s">
        <v>104</v>
      </c>
      <c r="D266" s="1" t="s">
        <v>79</v>
      </c>
      <c r="E266" s="1" t="s">
        <v>53</v>
      </c>
      <c r="F266" s="1">
        <v>4</v>
      </c>
      <c r="G266" s="1">
        <v>0.1</v>
      </c>
      <c r="H266" s="1" t="s">
        <v>13</v>
      </c>
      <c r="I266" s="1">
        <v>10</v>
      </c>
      <c r="J266">
        <f>_xlfn.XLOOKUP(D266,[1]products!$A$2:$A$11,[1]products!$D$2:$D$11,"Not Found")</f>
        <v>70</v>
      </c>
      <c r="K266">
        <f t="shared" si="12"/>
        <v>252</v>
      </c>
      <c r="L266">
        <f>_xlfn.XLOOKUP(D266,[1]products!$A$2:$A$11,[1]products!$E$2:$E$11,"Not Found")</f>
        <v>22.4</v>
      </c>
      <c r="M266">
        <f t="shared" si="13"/>
        <v>152.4</v>
      </c>
      <c r="N266" t="str">
        <f>_xlfn.XLOOKUP(C266,[2]customers!$A$2:$A$81,[2]customers!$C$2:$C$81,"Not Found")</f>
        <v>East</v>
      </c>
      <c r="O266" t="str">
        <f>_xlfn.XLOOKUP(D266,[1]products!$A$2:$A$11,[1]products!$C$2:$C$11,"Not Found")</f>
        <v>Blender</v>
      </c>
      <c r="P266" t="str">
        <f>_xlfn.XLOOKUP(C266,[2]customers!$A$2:$A$81,[2]customers!$E$2:$E$81,"Not Found")</f>
        <v>Home Office</v>
      </c>
      <c r="Q266" t="str">
        <f t="shared" si="14"/>
        <v>December</v>
      </c>
    </row>
    <row r="267" spans="1:17" x14ac:dyDescent="0.3">
      <c r="A267" s="1" t="s">
        <v>368</v>
      </c>
      <c r="B267" s="2">
        <v>45723</v>
      </c>
      <c r="C267" s="1" t="s">
        <v>49</v>
      </c>
      <c r="D267" s="1" t="s">
        <v>15</v>
      </c>
      <c r="E267" s="1" t="s">
        <v>26</v>
      </c>
      <c r="F267" s="1">
        <v>2</v>
      </c>
      <c r="G267" s="1">
        <v>0.15</v>
      </c>
      <c r="H267" s="1" t="s">
        <v>13</v>
      </c>
      <c r="I267" s="1">
        <v>8</v>
      </c>
      <c r="J267">
        <f>_xlfn.XLOOKUP(D267,[1]products!$A$2:$A$11,[1]products!$D$2:$D$11,"Not Found")</f>
        <v>600</v>
      </c>
      <c r="K267">
        <f t="shared" si="12"/>
        <v>1020</v>
      </c>
      <c r="L267">
        <f>_xlfn.XLOOKUP(D267,[1]products!$A$2:$A$11,[1]products!$E$2:$E$11,"Not Found")</f>
        <v>120</v>
      </c>
      <c r="M267">
        <f t="shared" si="13"/>
        <v>772</v>
      </c>
      <c r="N267" t="str">
        <f>_xlfn.XLOOKUP(C267,[2]customers!$A$2:$A$81,[2]customers!$C$2:$C$81,"Not Found")</f>
        <v>West</v>
      </c>
      <c r="O267" t="str">
        <f>_xlfn.XLOOKUP(D267,[1]products!$A$2:$A$11,[1]products!$C$2:$C$11,"Not Found")</f>
        <v>Smartphone</v>
      </c>
      <c r="P267" t="str">
        <f>_xlfn.XLOOKUP(C267,[2]customers!$A$2:$A$81,[2]customers!$E$2:$E$81,"Not Found")</f>
        <v>Consumer</v>
      </c>
      <c r="Q267" t="str">
        <f t="shared" si="14"/>
        <v>March</v>
      </c>
    </row>
    <row r="268" spans="1:17" x14ac:dyDescent="0.3">
      <c r="A268" s="1" t="s">
        <v>369</v>
      </c>
      <c r="B268" s="2">
        <v>45852</v>
      </c>
      <c r="C268" s="1" t="s">
        <v>96</v>
      </c>
      <c r="D268" s="1" t="s">
        <v>21</v>
      </c>
      <c r="E268" s="1" t="s">
        <v>26</v>
      </c>
      <c r="F268" s="1">
        <v>4</v>
      </c>
      <c r="G268" s="1">
        <v>0.15</v>
      </c>
      <c r="H268" s="1" t="s">
        <v>13</v>
      </c>
      <c r="I268" s="1">
        <v>10</v>
      </c>
      <c r="J268">
        <f>_xlfn.XLOOKUP(D268,[1]products!$A$2:$A$11,[1]products!$D$2:$D$11,"Not Found")</f>
        <v>320</v>
      </c>
      <c r="K268">
        <f t="shared" si="12"/>
        <v>1088</v>
      </c>
      <c r="L268">
        <f>_xlfn.XLOOKUP(D268,[1]products!$A$2:$A$11,[1]products!$E$2:$E$11,"Not Found")</f>
        <v>86.4</v>
      </c>
      <c r="M268">
        <f t="shared" si="13"/>
        <v>732.4</v>
      </c>
      <c r="N268" t="str">
        <f>_xlfn.XLOOKUP(C268,[2]customers!$A$2:$A$81,[2]customers!$C$2:$C$81,"Not Found")</f>
        <v>West</v>
      </c>
      <c r="O268" t="str">
        <f>_xlfn.XLOOKUP(D268,[1]products!$A$2:$A$11,[1]products!$C$2:$C$11,"Not Found")</f>
        <v>Desk</v>
      </c>
      <c r="P268" t="str">
        <f>_xlfn.XLOOKUP(C268,[2]customers!$A$2:$A$81,[2]customers!$E$2:$E$81,"Not Found")</f>
        <v>Corporate</v>
      </c>
      <c r="Q268" t="str">
        <f t="shared" si="14"/>
        <v>July</v>
      </c>
    </row>
    <row r="269" spans="1:17" x14ac:dyDescent="0.3">
      <c r="A269" s="1" t="s">
        <v>370</v>
      </c>
      <c r="B269" s="2">
        <v>45715</v>
      </c>
      <c r="C269" s="1" t="s">
        <v>84</v>
      </c>
      <c r="D269" s="1" t="s">
        <v>38</v>
      </c>
      <c r="E269" s="1" t="s">
        <v>16</v>
      </c>
      <c r="F269" s="1">
        <v>2</v>
      </c>
      <c r="G269" s="1">
        <v>0.05</v>
      </c>
      <c r="H269" s="1" t="s">
        <v>13</v>
      </c>
      <c r="I269" s="1">
        <v>20</v>
      </c>
      <c r="J269">
        <f>_xlfn.XLOOKUP(D269,[1]products!$A$2:$A$11,[1]products!$D$2:$D$11,"Not Found")</f>
        <v>210</v>
      </c>
      <c r="K269">
        <f t="shared" si="12"/>
        <v>399</v>
      </c>
      <c r="L269">
        <f>_xlfn.XLOOKUP(D269,[1]products!$A$2:$A$11,[1]products!$E$2:$E$11,"Not Found")</f>
        <v>52.5</v>
      </c>
      <c r="M269">
        <f t="shared" si="13"/>
        <v>274</v>
      </c>
      <c r="N269" t="str">
        <f>_xlfn.XLOOKUP(C269,[2]customers!$A$2:$A$81,[2]customers!$C$2:$C$81,"Not Found")</f>
        <v>North</v>
      </c>
      <c r="O269" t="str">
        <f>_xlfn.XLOOKUP(D269,[1]products!$A$2:$A$11,[1]products!$C$2:$C$11,"Not Found")</f>
        <v>Bookshelf</v>
      </c>
      <c r="P269" t="str">
        <f>_xlfn.XLOOKUP(C269,[2]customers!$A$2:$A$81,[2]customers!$E$2:$E$81,"Not Found")</f>
        <v>Corporate</v>
      </c>
      <c r="Q269" t="str">
        <f t="shared" si="14"/>
        <v>February</v>
      </c>
    </row>
    <row r="270" spans="1:17" x14ac:dyDescent="0.3">
      <c r="A270" s="1" t="s">
        <v>371</v>
      </c>
      <c r="B270" s="2">
        <v>45709</v>
      </c>
      <c r="C270" s="1" t="s">
        <v>98</v>
      </c>
      <c r="D270" s="1" t="s">
        <v>71</v>
      </c>
      <c r="E270" s="1" t="s">
        <v>53</v>
      </c>
      <c r="F270" s="1">
        <v>1</v>
      </c>
      <c r="G270" s="1">
        <v>0</v>
      </c>
      <c r="H270" s="1" t="s">
        <v>13</v>
      </c>
      <c r="I270" s="1">
        <v>8</v>
      </c>
      <c r="J270">
        <f>_xlfn.XLOOKUP(D270,[1]products!$A$2:$A$11,[1]products!$D$2:$D$11,"Not Found")</f>
        <v>240</v>
      </c>
      <c r="K270">
        <f t="shared" si="12"/>
        <v>240</v>
      </c>
      <c r="L270">
        <f>_xlfn.XLOOKUP(D270,[1]products!$A$2:$A$11,[1]products!$E$2:$E$11,"Not Found")</f>
        <v>55.2</v>
      </c>
      <c r="M270">
        <f t="shared" si="13"/>
        <v>176.8</v>
      </c>
      <c r="N270" t="str">
        <f>_xlfn.XLOOKUP(C270,[2]customers!$A$2:$A$81,[2]customers!$C$2:$C$81,"Not Found")</f>
        <v>South</v>
      </c>
      <c r="O270" t="str">
        <f>_xlfn.XLOOKUP(D270,[1]products!$A$2:$A$11,[1]products!$C$2:$C$11,"Not Found")</f>
        <v>Vacuum Cleaner</v>
      </c>
      <c r="P270" t="str">
        <f>_xlfn.XLOOKUP(C270,[2]customers!$A$2:$A$81,[2]customers!$E$2:$E$81,"Not Found")</f>
        <v>Consumer</v>
      </c>
      <c r="Q270" t="str">
        <f t="shared" si="14"/>
        <v>February</v>
      </c>
    </row>
    <row r="271" spans="1:17" x14ac:dyDescent="0.3">
      <c r="A271" s="1" t="s">
        <v>372</v>
      </c>
      <c r="B271" s="2">
        <v>45863</v>
      </c>
      <c r="C271" s="1" t="s">
        <v>121</v>
      </c>
      <c r="D271" s="1" t="s">
        <v>71</v>
      </c>
      <c r="E271" s="1" t="s">
        <v>50</v>
      </c>
      <c r="F271" s="1">
        <v>1</v>
      </c>
      <c r="G271" s="1">
        <v>0</v>
      </c>
      <c r="H271" s="1" t="s">
        <v>13</v>
      </c>
      <c r="I271" s="1">
        <v>10</v>
      </c>
      <c r="J271">
        <f>_xlfn.XLOOKUP(D271,[1]products!$A$2:$A$11,[1]products!$D$2:$D$11,"Not Found")</f>
        <v>240</v>
      </c>
      <c r="K271">
        <f t="shared" si="12"/>
        <v>240</v>
      </c>
      <c r="L271">
        <f>_xlfn.XLOOKUP(D271,[1]products!$A$2:$A$11,[1]products!$E$2:$E$11,"Not Found")</f>
        <v>55.2</v>
      </c>
      <c r="M271">
        <f t="shared" si="13"/>
        <v>174.8</v>
      </c>
      <c r="N271" t="str">
        <f>_xlfn.XLOOKUP(C271,[2]customers!$A$2:$A$81,[2]customers!$C$2:$C$81,"Not Found")</f>
        <v>South</v>
      </c>
      <c r="O271" t="str">
        <f>_xlfn.XLOOKUP(D271,[1]products!$A$2:$A$11,[1]products!$C$2:$C$11,"Not Found")</f>
        <v>Vacuum Cleaner</v>
      </c>
      <c r="P271" t="str">
        <f>_xlfn.XLOOKUP(C271,[2]customers!$A$2:$A$81,[2]customers!$E$2:$E$81,"Not Found")</f>
        <v>Consumer</v>
      </c>
      <c r="Q271" t="str">
        <f t="shared" si="14"/>
        <v>July</v>
      </c>
    </row>
    <row r="272" spans="1:17" x14ac:dyDescent="0.3">
      <c r="A272" s="1" t="s">
        <v>373</v>
      </c>
      <c r="B272" s="2">
        <v>45806</v>
      </c>
      <c r="C272" s="1" t="s">
        <v>262</v>
      </c>
      <c r="D272" s="1" t="s">
        <v>11</v>
      </c>
      <c r="E272" s="1" t="s">
        <v>26</v>
      </c>
      <c r="F272" s="1">
        <v>1</v>
      </c>
      <c r="G272" s="1">
        <v>0</v>
      </c>
      <c r="H272" s="1" t="s">
        <v>13</v>
      </c>
      <c r="I272" s="1">
        <v>20</v>
      </c>
      <c r="J272">
        <f>_xlfn.XLOOKUP(D272,[1]products!$A$2:$A$11,[1]products!$D$2:$D$11,"Not Found")</f>
        <v>180</v>
      </c>
      <c r="K272">
        <f t="shared" si="12"/>
        <v>180</v>
      </c>
      <c r="L272">
        <f>_xlfn.XLOOKUP(D272,[1]products!$A$2:$A$11,[1]products!$E$2:$E$11,"Not Found")</f>
        <v>54</v>
      </c>
      <c r="M272">
        <f t="shared" si="13"/>
        <v>106</v>
      </c>
      <c r="N272" t="str">
        <f>_xlfn.XLOOKUP(C272,[2]customers!$A$2:$A$81,[2]customers!$C$2:$C$81,"Not Found")</f>
        <v>East</v>
      </c>
      <c r="O272" t="str">
        <f>_xlfn.XLOOKUP(D272,[1]products!$A$2:$A$11,[1]products!$C$2:$C$11,"Not Found")</f>
        <v>Office Chair</v>
      </c>
      <c r="P272" t="str">
        <f>_xlfn.XLOOKUP(C272,[2]customers!$A$2:$A$81,[2]customers!$E$2:$E$81,"Not Found")</f>
        <v>Home Office</v>
      </c>
      <c r="Q272" t="str">
        <f t="shared" si="14"/>
        <v>May</v>
      </c>
    </row>
    <row r="273" spans="1:17" x14ac:dyDescent="0.3">
      <c r="A273" s="1" t="s">
        <v>374</v>
      </c>
      <c r="B273" s="2">
        <v>45822</v>
      </c>
      <c r="C273" s="1" t="s">
        <v>59</v>
      </c>
      <c r="D273" s="1" t="s">
        <v>38</v>
      </c>
      <c r="E273" s="1" t="s">
        <v>26</v>
      </c>
      <c r="F273" s="1">
        <v>5</v>
      </c>
      <c r="G273" s="1">
        <v>0.15</v>
      </c>
      <c r="H273" s="1" t="s">
        <v>13</v>
      </c>
      <c r="I273" s="1">
        <v>12</v>
      </c>
      <c r="J273">
        <f>_xlfn.XLOOKUP(D273,[1]products!$A$2:$A$11,[1]products!$D$2:$D$11,"Not Found")</f>
        <v>210</v>
      </c>
      <c r="K273">
        <f t="shared" si="12"/>
        <v>892.5</v>
      </c>
      <c r="L273">
        <f>_xlfn.XLOOKUP(D273,[1]products!$A$2:$A$11,[1]products!$E$2:$E$11,"Not Found")</f>
        <v>52.5</v>
      </c>
      <c r="M273">
        <f t="shared" si="13"/>
        <v>618</v>
      </c>
      <c r="N273" t="str">
        <f>_xlfn.XLOOKUP(C273,[2]customers!$A$2:$A$81,[2]customers!$C$2:$C$81,"Not Found")</f>
        <v>West</v>
      </c>
      <c r="O273" t="str">
        <f>_xlfn.XLOOKUP(D273,[1]products!$A$2:$A$11,[1]products!$C$2:$C$11,"Not Found")</f>
        <v>Bookshelf</v>
      </c>
      <c r="P273" t="str">
        <f>_xlfn.XLOOKUP(C273,[2]customers!$A$2:$A$81,[2]customers!$E$2:$E$81,"Not Found")</f>
        <v>Corporate</v>
      </c>
      <c r="Q273" t="str">
        <f t="shared" si="14"/>
        <v>June</v>
      </c>
    </row>
    <row r="274" spans="1:17" x14ac:dyDescent="0.3">
      <c r="A274" s="1" t="s">
        <v>375</v>
      </c>
      <c r="B274" s="2">
        <v>45689</v>
      </c>
      <c r="C274" s="1" t="s">
        <v>176</v>
      </c>
      <c r="D274" s="1" t="s">
        <v>35</v>
      </c>
      <c r="E274" s="1" t="s">
        <v>53</v>
      </c>
      <c r="F274" s="1">
        <v>2</v>
      </c>
      <c r="G274" s="1">
        <v>0.1</v>
      </c>
      <c r="H274" s="1" t="s">
        <v>13</v>
      </c>
      <c r="I274" s="1">
        <v>18</v>
      </c>
      <c r="J274">
        <f>_xlfn.XLOOKUP(D274,[1]products!$A$2:$A$11,[1]products!$D$2:$D$11,"Not Found")</f>
        <v>130</v>
      </c>
      <c r="K274">
        <f t="shared" si="12"/>
        <v>234</v>
      </c>
      <c r="L274">
        <f>_xlfn.XLOOKUP(D274,[1]products!$A$2:$A$11,[1]products!$E$2:$E$11,"Not Found")</f>
        <v>33.799999999999997</v>
      </c>
      <c r="M274">
        <f t="shared" si="13"/>
        <v>148.4</v>
      </c>
      <c r="N274" t="str">
        <f>_xlfn.XLOOKUP(C274,[2]customers!$A$2:$A$81,[2]customers!$C$2:$C$81,"Not Found")</f>
        <v>West</v>
      </c>
      <c r="O274" t="str">
        <f>_xlfn.XLOOKUP(D274,[1]products!$A$2:$A$11,[1]products!$C$2:$C$11,"Not Found")</f>
        <v>Air Fryer</v>
      </c>
      <c r="P274" t="str">
        <f>_xlfn.XLOOKUP(C274,[2]customers!$A$2:$A$81,[2]customers!$E$2:$E$81,"Not Found")</f>
        <v>Home Office</v>
      </c>
      <c r="Q274" t="str">
        <f t="shared" si="14"/>
        <v>February</v>
      </c>
    </row>
    <row r="275" spans="1:17" x14ac:dyDescent="0.3">
      <c r="A275" s="1" t="s">
        <v>376</v>
      </c>
      <c r="B275" s="2">
        <v>45834</v>
      </c>
      <c r="C275" s="1" t="s">
        <v>377</v>
      </c>
      <c r="D275" s="1" t="s">
        <v>43</v>
      </c>
      <c r="E275" s="1" t="s">
        <v>50</v>
      </c>
      <c r="F275" s="1">
        <v>5</v>
      </c>
      <c r="G275" s="1">
        <v>0.1</v>
      </c>
      <c r="H275" s="1" t="s">
        <v>13</v>
      </c>
      <c r="I275" s="1">
        <v>18</v>
      </c>
      <c r="J275">
        <f>_xlfn.XLOOKUP(D275,[1]products!$A$2:$A$11,[1]products!$D$2:$D$11,"Not Found")</f>
        <v>160</v>
      </c>
      <c r="K275">
        <f t="shared" si="12"/>
        <v>720</v>
      </c>
      <c r="L275">
        <f>_xlfn.XLOOKUP(D275,[1]products!$A$2:$A$11,[1]products!$E$2:$E$11,"Not Found")</f>
        <v>38.4</v>
      </c>
      <c r="M275">
        <f t="shared" si="13"/>
        <v>510</v>
      </c>
      <c r="N275" t="str">
        <f>_xlfn.XLOOKUP(C275,[2]customers!$A$2:$A$81,[2]customers!$C$2:$C$81,"Not Found")</f>
        <v>South</v>
      </c>
      <c r="O275" t="str">
        <f>_xlfn.XLOOKUP(D275,[1]products!$A$2:$A$11,[1]products!$C$2:$C$11,"Not Found")</f>
        <v>Microwave</v>
      </c>
      <c r="P275" t="str">
        <f>_xlfn.XLOOKUP(C275,[2]customers!$A$2:$A$81,[2]customers!$E$2:$E$81,"Not Found")</f>
        <v>Corporate</v>
      </c>
      <c r="Q275" t="str">
        <f t="shared" si="14"/>
        <v>June</v>
      </c>
    </row>
    <row r="276" spans="1:17" x14ac:dyDescent="0.3">
      <c r="A276" s="1" t="s">
        <v>378</v>
      </c>
      <c r="B276" s="2">
        <v>45752</v>
      </c>
      <c r="C276" s="1" t="s">
        <v>10</v>
      </c>
      <c r="D276" s="1" t="s">
        <v>43</v>
      </c>
      <c r="E276" s="1" t="s">
        <v>53</v>
      </c>
      <c r="F276" s="1">
        <v>4</v>
      </c>
      <c r="G276" s="1">
        <v>0</v>
      </c>
      <c r="H276" s="1" t="s">
        <v>13</v>
      </c>
      <c r="I276" s="1">
        <v>15</v>
      </c>
      <c r="J276">
        <f>_xlfn.XLOOKUP(D276,[1]products!$A$2:$A$11,[1]products!$D$2:$D$11,"Not Found")</f>
        <v>160</v>
      </c>
      <c r="K276">
        <f t="shared" si="12"/>
        <v>640</v>
      </c>
      <c r="L276">
        <f>_xlfn.XLOOKUP(D276,[1]products!$A$2:$A$11,[1]products!$E$2:$E$11,"Not Found")</f>
        <v>38.4</v>
      </c>
      <c r="M276">
        <f t="shared" si="13"/>
        <v>471.4</v>
      </c>
      <c r="N276" t="str">
        <f>_xlfn.XLOOKUP(C276,[2]customers!$A$2:$A$81,[2]customers!$C$2:$C$81,"Not Found")</f>
        <v>West</v>
      </c>
      <c r="O276" t="str">
        <f>_xlfn.XLOOKUP(D276,[1]products!$A$2:$A$11,[1]products!$C$2:$C$11,"Not Found")</f>
        <v>Microwave</v>
      </c>
      <c r="P276" t="str">
        <f>_xlfn.XLOOKUP(C276,[2]customers!$A$2:$A$81,[2]customers!$E$2:$E$81,"Not Found")</f>
        <v>Corporate</v>
      </c>
      <c r="Q276" t="str">
        <f t="shared" si="14"/>
        <v>April</v>
      </c>
    </row>
    <row r="277" spans="1:17" x14ac:dyDescent="0.3">
      <c r="A277" s="1" t="s">
        <v>379</v>
      </c>
      <c r="B277" s="2">
        <v>45687</v>
      </c>
      <c r="C277" s="1" t="s">
        <v>110</v>
      </c>
      <c r="D277" s="1" t="s">
        <v>11</v>
      </c>
      <c r="E277" s="1" t="s">
        <v>53</v>
      </c>
      <c r="F277" s="1">
        <v>3</v>
      </c>
      <c r="G277" s="1">
        <v>0</v>
      </c>
      <c r="H277" s="1" t="s">
        <v>22</v>
      </c>
      <c r="I277" s="1">
        <v>15</v>
      </c>
      <c r="J277">
        <f>_xlfn.XLOOKUP(D277,[1]products!$A$2:$A$11,[1]products!$D$2:$D$11,"Not Found")</f>
        <v>180</v>
      </c>
      <c r="K277">
        <f t="shared" si="12"/>
        <v>540</v>
      </c>
      <c r="L277">
        <f>_xlfn.XLOOKUP(D277,[1]products!$A$2:$A$11,[1]products!$E$2:$E$11,"Not Found")</f>
        <v>54</v>
      </c>
      <c r="M277">
        <f t="shared" si="13"/>
        <v>363</v>
      </c>
      <c r="N277" t="str">
        <f>_xlfn.XLOOKUP(C277,[2]customers!$A$2:$A$81,[2]customers!$C$2:$C$81,"Not Found")</f>
        <v>South</v>
      </c>
      <c r="O277" t="str">
        <f>_xlfn.XLOOKUP(D277,[1]products!$A$2:$A$11,[1]products!$C$2:$C$11,"Not Found")</f>
        <v>Office Chair</v>
      </c>
      <c r="P277" t="str">
        <f>_xlfn.XLOOKUP(C277,[2]customers!$A$2:$A$81,[2]customers!$E$2:$E$81,"Not Found")</f>
        <v>Consumer</v>
      </c>
      <c r="Q277" t="str">
        <f t="shared" si="14"/>
        <v>January</v>
      </c>
    </row>
    <row r="278" spans="1:17" x14ac:dyDescent="0.3">
      <c r="A278" s="1" t="s">
        <v>380</v>
      </c>
      <c r="B278" s="2">
        <v>45788</v>
      </c>
      <c r="C278" s="1" t="s">
        <v>98</v>
      </c>
      <c r="D278" s="1" t="s">
        <v>35</v>
      </c>
      <c r="E278" s="1" t="s">
        <v>26</v>
      </c>
      <c r="F278" s="1">
        <v>5</v>
      </c>
      <c r="G278" s="1">
        <v>0</v>
      </c>
      <c r="H278" s="1" t="s">
        <v>13</v>
      </c>
      <c r="I278" s="1">
        <v>12</v>
      </c>
      <c r="J278">
        <f>_xlfn.XLOOKUP(D278,[1]products!$A$2:$A$11,[1]products!$D$2:$D$11,"Not Found")</f>
        <v>130</v>
      </c>
      <c r="K278">
        <f t="shared" si="12"/>
        <v>650</v>
      </c>
      <c r="L278">
        <f>_xlfn.XLOOKUP(D278,[1]products!$A$2:$A$11,[1]products!$E$2:$E$11,"Not Found")</f>
        <v>33.799999999999997</v>
      </c>
      <c r="M278">
        <f t="shared" si="13"/>
        <v>469</v>
      </c>
      <c r="N278" t="str">
        <f>_xlfn.XLOOKUP(C278,[2]customers!$A$2:$A$81,[2]customers!$C$2:$C$81,"Not Found")</f>
        <v>South</v>
      </c>
      <c r="O278" t="str">
        <f>_xlfn.XLOOKUP(D278,[1]products!$A$2:$A$11,[1]products!$C$2:$C$11,"Not Found")</f>
        <v>Air Fryer</v>
      </c>
      <c r="P278" t="str">
        <f>_xlfn.XLOOKUP(C278,[2]customers!$A$2:$A$81,[2]customers!$E$2:$E$81,"Not Found")</f>
        <v>Consumer</v>
      </c>
      <c r="Q278" t="str">
        <f t="shared" si="14"/>
        <v>May</v>
      </c>
    </row>
    <row r="279" spans="1:17" x14ac:dyDescent="0.3">
      <c r="A279" s="1" t="s">
        <v>381</v>
      </c>
      <c r="B279" s="2">
        <v>45755</v>
      </c>
      <c r="C279" s="1" t="s">
        <v>382</v>
      </c>
      <c r="D279" s="1" t="s">
        <v>79</v>
      </c>
      <c r="E279" s="1" t="s">
        <v>16</v>
      </c>
      <c r="F279" s="1">
        <v>3</v>
      </c>
      <c r="G279" s="1">
        <v>0</v>
      </c>
      <c r="H279" s="1" t="s">
        <v>13</v>
      </c>
      <c r="I279" s="1">
        <v>12</v>
      </c>
      <c r="J279">
        <f>_xlfn.XLOOKUP(D279,[1]products!$A$2:$A$11,[1]products!$D$2:$D$11,"Not Found")</f>
        <v>70</v>
      </c>
      <c r="K279">
        <f t="shared" si="12"/>
        <v>210</v>
      </c>
      <c r="L279">
        <f>_xlfn.XLOOKUP(D279,[1]products!$A$2:$A$11,[1]products!$E$2:$E$11,"Not Found")</f>
        <v>22.4</v>
      </c>
      <c r="M279">
        <f t="shared" si="13"/>
        <v>130.80000000000001</v>
      </c>
      <c r="N279" t="str">
        <f>_xlfn.XLOOKUP(C279,[2]customers!$A$2:$A$81,[2]customers!$C$2:$C$81,"Not Found")</f>
        <v>East</v>
      </c>
      <c r="O279" t="str">
        <f>_xlfn.XLOOKUP(D279,[1]products!$A$2:$A$11,[1]products!$C$2:$C$11,"Not Found")</f>
        <v>Blender</v>
      </c>
      <c r="P279" t="str">
        <f>_xlfn.XLOOKUP(C279,[2]customers!$A$2:$A$81,[2]customers!$E$2:$E$81,"Not Found")</f>
        <v>Home Office</v>
      </c>
      <c r="Q279" t="str">
        <f t="shared" si="14"/>
        <v>April</v>
      </c>
    </row>
    <row r="280" spans="1:17" x14ac:dyDescent="0.3">
      <c r="A280" s="1" t="s">
        <v>383</v>
      </c>
      <c r="B280" s="2">
        <v>45754</v>
      </c>
      <c r="C280" s="1" t="s">
        <v>104</v>
      </c>
      <c r="D280" s="1" t="s">
        <v>71</v>
      </c>
      <c r="E280" s="1" t="s">
        <v>53</v>
      </c>
      <c r="F280" s="1">
        <v>5</v>
      </c>
      <c r="G280" s="1">
        <v>0</v>
      </c>
      <c r="H280" s="1" t="s">
        <v>22</v>
      </c>
      <c r="I280" s="1">
        <v>20</v>
      </c>
      <c r="J280">
        <f>_xlfn.XLOOKUP(D280,[1]products!$A$2:$A$11,[1]products!$D$2:$D$11,"Not Found")</f>
        <v>240</v>
      </c>
      <c r="K280">
        <f t="shared" si="12"/>
        <v>1200</v>
      </c>
      <c r="L280">
        <f>_xlfn.XLOOKUP(D280,[1]products!$A$2:$A$11,[1]products!$E$2:$E$11,"Not Found")</f>
        <v>55.2</v>
      </c>
      <c r="M280">
        <f t="shared" si="13"/>
        <v>904</v>
      </c>
      <c r="N280" t="str">
        <f>_xlfn.XLOOKUP(C280,[2]customers!$A$2:$A$81,[2]customers!$C$2:$C$81,"Not Found")</f>
        <v>East</v>
      </c>
      <c r="O280" t="str">
        <f>_xlfn.XLOOKUP(D280,[1]products!$A$2:$A$11,[1]products!$C$2:$C$11,"Not Found")</f>
        <v>Vacuum Cleaner</v>
      </c>
      <c r="P280" t="str">
        <f>_xlfn.XLOOKUP(C280,[2]customers!$A$2:$A$81,[2]customers!$E$2:$E$81,"Not Found")</f>
        <v>Home Office</v>
      </c>
      <c r="Q280" t="str">
        <f t="shared" si="14"/>
        <v>April</v>
      </c>
    </row>
    <row r="281" spans="1:17" x14ac:dyDescent="0.3">
      <c r="A281" s="1" t="s">
        <v>384</v>
      </c>
      <c r="B281" s="2">
        <v>45828</v>
      </c>
      <c r="C281" s="1" t="s">
        <v>42</v>
      </c>
      <c r="D281" s="1" t="s">
        <v>11</v>
      </c>
      <c r="E281" s="1" t="s">
        <v>12</v>
      </c>
      <c r="F281" s="1">
        <v>4</v>
      </c>
      <c r="G281" s="1">
        <v>0</v>
      </c>
      <c r="H281" s="1" t="s">
        <v>22</v>
      </c>
      <c r="I281" s="1">
        <v>8</v>
      </c>
      <c r="J281">
        <f>_xlfn.XLOOKUP(D281,[1]products!$A$2:$A$11,[1]products!$D$2:$D$11,"Not Found")</f>
        <v>180</v>
      </c>
      <c r="K281">
        <f t="shared" si="12"/>
        <v>720</v>
      </c>
      <c r="L281">
        <f>_xlfn.XLOOKUP(D281,[1]products!$A$2:$A$11,[1]products!$E$2:$E$11,"Not Found")</f>
        <v>54</v>
      </c>
      <c r="M281">
        <f t="shared" si="13"/>
        <v>496</v>
      </c>
      <c r="N281" t="str">
        <f>_xlfn.XLOOKUP(C281,[2]customers!$A$2:$A$81,[2]customers!$C$2:$C$81,"Not Found")</f>
        <v>South</v>
      </c>
      <c r="O281" t="str">
        <f>_xlfn.XLOOKUP(D281,[1]products!$A$2:$A$11,[1]products!$C$2:$C$11,"Not Found")</f>
        <v>Office Chair</v>
      </c>
      <c r="P281" t="str">
        <f>_xlfn.XLOOKUP(C281,[2]customers!$A$2:$A$81,[2]customers!$E$2:$E$81,"Not Found")</f>
        <v>Home Office</v>
      </c>
      <c r="Q281" t="str">
        <f t="shared" si="14"/>
        <v>June</v>
      </c>
    </row>
    <row r="282" spans="1:17" x14ac:dyDescent="0.3">
      <c r="A282" s="1" t="s">
        <v>385</v>
      </c>
      <c r="B282" s="2">
        <v>46014</v>
      </c>
      <c r="C282" s="1" t="s">
        <v>386</v>
      </c>
      <c r="D282" s="1" t="s">
        <v>11</v>
      </c>
      <c r="E282" s="1" t="s">
        <v>53</v>
      </c>
      <c r="F282" s="1">
        <v>1</v>
      </c>
      <c r="G282" s="1">
        <v>0.1</v>
      </c>
      <c r="H282" s="1" t="s">
        <v>22</v>
      </c>
      <c r="I282" s="1">
        <v>20</v>
      </c>
      <c r="J282">
        <f>_xlfn.XLOOKUP(D282,[1]products!$A$2:$A$11,[1]products!$D$2:$D$11,"Not Found")</f>
        <v>180</v>
      </c>
      <c r="K282">
        <f t="shared" si="12"/>
        <v>162</v>
      </c>
      <c r="L282">
        <f>_xlfn.XLOOKUP(D282,[1]products!$A$2:$A$11,[1]products!$E$2:$E$11,"Not Found")</f>
        <v>54</v>
      </c>
      <c r="M282">
        <f t="shared" si="13"/>
        <v>88</v>
      </c>
      <c r="N282" t="str">
        <f>_xlfn.XLOOKUP(C282,[2]customers!$A$2:$A$81,[2]customers!$C$2:$C$81,"Not Found")</f>
        <v>East</v>
      </c>
      <c r="O282" t="str">
        <f>_xlfn.XLOOKUP(D282,[1]products!$A$2:$A$11,[1]products!$C$2:$C$11,"Not Found")</f>
        <v>Office Chair</v>
      </c>
      <c r="P282" t="str">
        <f>_xlfn.XLOOKUP(C282,[2]customers!$A$2:$A$81,[2]customers!$E$2:$E$81,"Not Found")</f>
        <v>Home Office</v>
      </c>
      <c r="Q282" t="str">
        <f t="shared" si="14"/>
        <v>December</v>
      </c>
    </row>
    <row r="283" spans="1:17" x14ac:dyDescent="0.3">
      <c r="A283" s="1" t="s">
        <v>387</v>
      </c>
      <c r="B283" s="2">
        <v>45802</v>
      </c>
      <c r="C283" s="1" t="s">
        <v>164</v>
      </c>
      <c r="D283" s="1" t="s">
        <v>43</v>
      </c>
      <c r="E283" s="1" t="s">
        <v>50</v>
      </c>
      <c r="F283" s="1">
        <v>2</v>
      </c>
      <c r="G283" s="1">
        <v>0.15</v>
      </c>
      <c r="H283" s="1" t="s">
        <v>13</v>
      </c>
      <c r="I283" s="1">
        <v>15</v>
      </c>
      <c r="J283">
        <f>_xlfn.XLOOKUP(D283,[1]products!$A$2:$A$11,[1]products!$D$2:$D$11,"Not Found")</f>
        <v>160</v>
      </c>
      <c r="K283">
        <f t="shared" si="12"/>
        <v>272</v>
      </c>
      <c r="L283">
        <f>_xlfn.XLOOKUP(D283,[1]products!$A$2:$A$11,[1]products!$E$2:$E$11,"Not Found")</f>
        <v>38.4</v>
      </c>
      <c r="M283">
        <f t="shared" si="13"/>
        <v>180.2</v>
      </c>
      <c r="N283" t="str">
        <f>_xlfn.XLOOKUP(C283,[2]customers!$A$2:$A$81,[2]customers!$C$2:$C$81,"Not Found")</f>
        <v>East</v>
      </c>
      <c r="O283" t="str">
        <f>_xlfn.XLOOKUP(D283,[1]products!$A$2:$A$11,[1]products!$C$2:$C$11,"Not Found")</f>
        <v>Microwave</v>
      </c>
      <c r="P283" t="str">
        <f>_xlfn.XLOOKUP(C283,[2]customers!$A$2:$A$81,[2]customers!$E$2:$E$81,"Not Found")</f>
        <v>Consumer</v>
      </c>
      <c r="Q283" t="str">
        <f t="shared" si="14"/>
        <v>May</v>
      </c>
    </row>
    <row r="284" spans="1:17" x14ac:dyDescent="0.3">
      <c r="A284" s="1" t="s">
        <v>388</v>
      </c>
      <c r="B284" s="2">
        <v>45912</v>
      </c>
      <c r="C284" s="1" t="s">
        <v>18</v>
      </c>
      <c r="D284" s="1" t="s">
        <v>38</v>
      </c>
      <c r="E284" s="1" t="s">
        <v>50</v>
      </c>
      <c r="F284" s="1">
        <v>3</v>
      </c>
      <c r="G284" s="1">
        <v>0.05</v>
      </c>
      <c r="H284" s="1" t="s">
        <v>13</v>
      </c>
      <c r="I284" s="1">
        <v>8</v>
      </c>
      <c r="J284">
        <f>_xlfn.XLOOKUP(D284,[1]products!$A$2:$A$11,[1]products!$D$2:$D$11,"Not Found")</f>
        <v>210</v>
      </c>
      <c r="K284">
        <f t="shared" si="12"/>
        <v>598.5</v>
      </c>
      <c r="L284">
        <f>_xlfn.XLOOKUP(D284,[1]products!$A$2:$A$11,[1]products!$E$2:$E$11,"Not Found")</f>
        <v>52.5</v>
      </c>
      <c r="M284">
        <f t="shared" si="13"/>
        <v>433</v>
      </c>
      <c r="N284" t="str">
        <f>_xlfn.XLOOKUP(C284,[2]customers!$A$2:$A$81,[2]customers!$C$2:$C$81,"Not Found")</f>
        <v>West</v>
      </c>
      <c r="O284" t="str">
        <f>_xlfn.XLOOKUP(D284,[1]products!$A$2:$A$11,[1]products!$C$2:$C$11,"Not Found")</f>
        <v>Bookshelf</v>
      </c>
      <c r="P284" t="str">
        <f>_xlfn.XLOOKUP(C284,[2]customers!$A$2:$A$81,[2]customers!$E$2:$E$81,"Not Found")</f>
        <v>Corporate</v>
      </c>
      <c r="Q284" t="str">
        <f t="shared" si="14"/>
        <v>September</v>
      </c>
    </row>
    <row r="285" spans="1:17" x14ac:dyDescent="0.3">
      <c r="A285" s="1" t="s">
        <v>389</v>
      </c>
      <c r="B285" s="2">
        <v>45681</v>
      </c>
      <c r="C285" s="1" t="s">
        <v>73</v>
      </c>
      <c r="D285" s="1" t="s">
        <v>38</v>
      </c>
      <c r="E285" s="1" t="s">
        <v>53</v>
      </c>
      <c r="F285" s="1">
        <v>2</v>
      </c>
      <c r="G285" s="1">
        <v>0.05</v>
      </c>
      <c r="H285" s="1" t="s">
        <v>13</v>
      </c>
      <c r="I285" s="1">
        <v>10</v>
      </c>
      <c r="J285">
        <f>_xlfn.XLOOKUP(D285,[1]products!$A$2:$A$11,[1]products!$D$2:$D$11,"Not Found")</f>
        <v>210</v>
      </c>
      <c r="K285">
        <f t="shared" si="12"/>
        <v>399</v>
      </c>
      <c r="L285">
        <f>_xlfn.XLOOKUP(D285,[1]products!$A$2:$A$11,[1]products!$E$2:$E$11,"Not Found")</f>
        <v>52.5</v>
      </c>
      <c r="M285">
        <f t="shared" si="13"/>
        <v>284</v>
      </c>
      <c r="N285" t="str">
        <f>_xlfn.XLOOKUP(C285,[2]customers!$A$2:$A$81,[2]customers!$C$2:$C$81,"Not Found")</f>
        <v>West</v>
      </c>
      <c r="O285" t="str">
        <f>_xlfn.XLOOKUP(D285,[1]products!$A$2:$A$11,[1]products!$C$2:$C$11,"Not Found")</f>
        <v>Bookshelf</v>
      </c>
      <c r="P285" t="str">
        <f>_xlfn.XLOOKUP(C285,[2]customers!$A$2:$A$81,[2]customers!$E$2:$E$81,"Not Found")</f>
        <v>Corporate</v>
      </c>
      <c r="Q285" t="str">
        <f t="shared" si="14"/>
        <v>January</v>
      </c>
    </row>
    <row r="286" spans="1:17" x14ac:dyDescent="0.3">
      <c r="A286" s="1" t="s">
        <v>390</v>
      </c>
      <c r="B286" s="2">
        <v>45954</v>
      </c>
      <c r="C286" s="1" t="s">
        <v>176</v>
      </c>
      <c r="D286" s="1" t="s">
        <v>25</v>
      </c>
      <c r="E286" s="1" t="s">
        <v>50</v>
      </c>
      <c r="F286" s="1">
        <v>3</v>
      </c>
      <c r="G286" s="1">
        <v>0.15</v>
      </c>
      <c r="H286" s="1" t="s">
        <v>22</v>
      </c>
      <c r="I286" s="1">
        <v>12</v>
      </c>
      <c r="J286">
        <f>_xlfn.XLOOKUP(D286,[1]products!$A$2:$A$11,[1]products!$D$2:$D$11,"Not Found")</f>
        <v>850</v>
      </c>
      <c r="K286">
        <f t="shared" si="12"/>
        <v>2167.5</v>
      </c>
      <c r="L286">
        <f>_xlfn.XLOOKUP(D286,[1]products!$A$2:$A$11,[1]products!$E$2:$E$11,"Not Found")</f>
        <v>187</v>
      </c>
      <c r="M286">
        <f t="shared" si="13"/>
        <v>1594.5</v>
      </c>
      <c r="N286" t="str">
        <f>_xlfn.XLOOKUP(C286,[2]customers!$A$2:$A$81,[2]customers!$C$2:$C$81,"Not Found")</f>
        <v>West</v>
      </c>
      <c r="O286" t="str">
        <f>_xlfn.XLOOKUP(D286,[1]products!$A$2:$A$11,[1]products!$C$2:$C$11,"Not Found")</f>
        <v>Laptop</v>
      </c>
      <c r="P286" t="str">
        <f>_xlfn.XLOOKUP(C286,[2]customers!$A$2:$A$81,[2]customers!$E$2:$E$81,"Not Found")</f>
        <v>Home Office</v>
      </c>
      <c r="Q286" t="str">
        <f t="shared" si="14"/>
        <v>October</v>
      </c>
    </row>
    <row r="287" spans="1:17" x14ac:dyDescent="0.3">
      <c r="A287" s="1" t="s">
        <v>391</v>
      </c>
      <c r="B287" s="2">
        <v>45783</v>
      </c>
      <c r="C287" s="1" t="s">
        <v>92</v>
      </c>
      <c r="D287" s="1" t="s">
        <v>11</v>
      </c>
      <c r="E287" s="1" t="s">
        <v>50</v>
      </c>
      <c r="F287" s="1">
        <v>3</v>
      </c>
      <c r="G287" s="1">
        <v>0</v>
      </c>
      <c r="H287" s="1" t="s">
        <v>13</v>
      </c>
      <c r="I287" s="1">
        <v>18</v>
      </c>
      <c r="J287">
        <f>_xlfn.XLOOKUP(D287,[1]products!$A$2:$A$11,[1]products!$D$2:$D$11,"Not Found")</f>
        <v>180</v>
      </c>
      <c r="K287">
        <f t="shared" si="12"/>
        <v>540</v>
      </c>
      <c r="L287">
        <f>_xlfn.XLOOKUP(D287,[1]products!$A$2:$A$11,[1]products!$E$2:$E$11,"Not Found")</f>
        <v>54</v>
      </c>
      <c r="M287">
        <f t="shared" si="13"/>
        <v>360</v>
      </c>
      <c r="N287" t="str">
        <f>_xlfn.XLOOKUP(C287,[2]customers!$A$2:$A$81,[2]customers!$C$2:$C$81,"Not Found")</f>
        <v>South</v>
      </c>
      <c r="O287" t="str">
        <f>_xlfn.XLOOKUP(D287,[1]products!$A$2:$A$11,[1]products!$C$2:$C$11,"Not Found")</f>
        <v>Office Chair</v>
      </c>
      <c r="P287" t="str">
        <f>_xlfn.XLOOKUP(C287,[2]customers!$A$2:$A$81,[2]customers!$E$2:$E$81,"Not Found")</f>
        <v>Corporate</v>
      </c>
      <c r="Q287" t="str">
        <f t="shared" si="14"/>
        <v>May</v>
      </c>
    </row>
    <row r="288" spans="1:17" x14ac:dyDescent="0.3">
      <c r="A288" s="1" t="s">
        <v>392</v>
      </c>
      <c r="B288" s="2">
        <v>45838</v>
      </c>
      <c r="C288" s="1" t="s">
        <v>30</v>
      </c>
      <c r="D288" s="1" t="s">
        <v>21</v>
      </c>
      <c r="E288" s="1" t="s">
        <v>26</v>
      </c>
      <c r="F288" s="1">
        <v>4</v>
      </c>
      <c r="G288" s="1">
        <v>0.1</v>
      </c>
      <c r="H288" s="1" t="s">
        <v>13</v>
      </c>
      <c r="I288" s="1">
        <v>10</v>
      </c>
      <c r="J288">
        <f>_xlfn.XLOOKUP(D288,[1]products!$A$2:$A$11,[1]products!$D$2:$D$11,"Not Found")</f>
        <v>320</v>
      </c>
      <c r="K288">
        <f t="shared" si="12"/>
        <v>1152</v>
      </c>
      <c r="L288">
        <f>_xlfn.XLOOKUP(D288,[1]products!$A$2:$A$11,[1]products!$E$2:$E$11,"Not Found")</f>
        <v>86.4</v>
      </c>
      <c r="M288">
        <f t="shared" si="13"/>
        <v>796.4</v>
      </c>
      <c r="N288" t="str">
        <f>_xlfn.XLOOKUP(C288,[2]customers!$A$2:$A$81,[2]customers!$C$2:$C$81,"Not Found")</f>
        <v>West</v>
      </c>
      <c r="O288" t="str">
        <f>_xlfn.XLOOKUP(D288,[1]products!$A$2:$A$11,[1]products!$C$2:$C$11,"Not Found")</f>
        <v>Desk</v>
      </c>
      <c r="P288" t="str">
        <f>_xlfn.XLOOKUP(C288,[2]customers!$A$2:$A$81,[2]customers!$E$2:$E$81,"Not Found")</f>
        <v>Home Office</v>
      </c>
      <c r="Q288" t="str">
        <f t="shared" si="14"/>
        <v>June</v>
      </c>
    </row>
    <row r="289" spans="1:17" x14ac:dyDescent="0.3">
      <c r="A289" s="1" t="s">
        <v>393</v>
      </c>
      <c r="B289" s="2">
        <v>45688</v>
      </c>
      <c r="C289" s="1" t="s">
        <v>262</v>
      </c>
      <c r="D289" s="1" t="s">
        <v>79</v>
      </c>
      <c r="E289" s="1" t="s">
        <v>53</v>
      </c>
      <c r="F289" s="1">
        <v>2</v>
      </c>
      <c r="G289" s="1">
        <v>0.15</v>
      </c>
      <c r="H289" s="1" t="s">
        <v>62</v>
      </c>
      <c r="I289" s="1">
        <v>8</v>
      </c>
      <c r="J289">
        <f>_xlfn.XLOOKUP(D289,[1]products!$A$2:$A$11,[1]products!$D$2:$D$11,"Not Found")</f>
        <v>70</v>
      </c>
      <c r="K289">
        <f t="shared" si="12"/>
        <v>119</v>
      </c>
      <c r="L289">
        <f>_xlfn.XLOOKUP(D289,[1]products!$A$2:$A$11,[1]products!$E$2:$E$11,"Not Found")</f>
        <v>22.4</v>
      </c>
      <c r="M289">
        <f t="shared" si="13"/>
        <v>66.2</v>
      </c>
      <c r="N289" t="str">
        <f>_xlfn.XLOOKUP(C289,[2]customers!$A$2:$A$81,[2]customers!$C$2:$C$81,"Not Found")</f>
        <v>East</v>
      </c>
      <c r="O289" t="str">
        <f>_xlfn.XLOOKUP(D289,[1]products!$A$2:$A$11,[1]products!$C$2:$C$11,"Not Found")</f>
        <v>Blender</v>
      </c>
      <c r="P289" t="str">
        <f>_xlfn.XLOOKUP(C289,[2]customers!$A$2:$A$81,[2]customers!$E$2:$E$81,"Not Found")</f>
        <v>Home Office</v>
      </c>
      <c r="Q289" t="str">
        <f t="shared" si="14"/>
        <v>January</v>
      </c>
    </row>
    <row r="290" spans="1:17" x14ac:dyDescent="0.3">
      <c r="A290" s="1" t="s">
        <v>394</v>
      </c>
      <c r="B290" s="2">
        <v>45980</v>
      </c>
      <c r="C290" s="1" t="s">
        <v>90</v>
      </c>
      <c r="D290" s="1" t="s">
        <v>25</v>
      </c>
      <c r="E290" s="1" t="s">
        <v>26</v>
      </c>
      <c r="F290" s="1">
        <v>1</v>
      </c>
      <c r="G290" s="1">
        <v>-0.05</v>
      </c>
      <c r="H290" s="1" t="s">
        <v>13</v>
      </c>
      <c r="I290" s="1">
        <v>8</v>
      </c>
      <c r="J290">
        <f>_xlfn.XLOOKUP(D290,[1]products!$A$2:$A$11,[1]products!$D$2:$D$11,"Not Found")</f>
        <v>850</v>
      </c>
      <c r="K290">
        <f t="shared" si="12"/>
        <v>892.5</v>
      </c>
      <c r="L290">
        <f>_xlfn.XLOOKUP(D290,[1]products!$A$2:$A$11,[1]products!$E$2:$E$11,"Not Found")</f>
        <v>187</v>
      </c>
      <c r="M290">
        <f t="shared" si="13"/>
        <v>697.5</v>
      </c>
      <c r="N290" t="str">
        <f>_xlfn.XLOOKUP(C290,[2]customers!$A$2:$A$81,[2]customers!$C$2:$C$81,"Not Found")</f>
        <v>West</v>
      </c>
      <c r="O290" t="str">
        <f>_xlfn.XLOOKUP(D290,[1]products!$A$2:$A$11,[1]products!$C$2:$C$11,"Not Found")</f>
        <v>Laptop</v>
      </c>
      <c r="P290" t="str">
        <f>_xlfn.XLOOKUP(C290,[2]customers!$A$2:$A$81,[2]customers!$E$2:$E$81,"Not Found")</f>
        <v>Corporate</v>
      </c>
      <c r="Q290" t="str">
        <f t="shared" si="14"/>
        <v>November</v>
      </c>
    </row>
    <row r="291" spans="1:17" x14ac:dyDescent="0.3">
      <c r="A291" s="1" t="s">
        <v>395</v>
      </c>
      <c r="B291" s="2">
        <v>45688</v>
      </c>
      <c r="C291" s="1" t="s">
        <v>92</v>
      </c>
      <c r="D291" s="1" t="s">
        <v>25</v>
      </c>
      <c r="E291" s="1" t="s">
        <v>53</v>
      </c>
      <c r="F291" s="1">
        <v>2</v>
      </c>
      <c r="G291" s="1">
        <v>0.15</v>
      </c>
      <c r="H291" s="1" t="s">
        <v>13</v>
      </c>
      <c r="I291" s="1">
        <v>20</v>
      </c>
      <c r="J291">
        <f>_xlfn.XLOOKUP(D291,[1]products!$A$2:$A$11,[1]products!$D$2:$D$11,"Not Found")</f>
        <v>850</v>
      </c>
      <c r="K291">
        <f t="shared" si="12"/>
        <v>1445</v>
      </c>
      <c r="L291">
        <f>_xlfn.XLOOKUP(D291,[1]products!$A$2:$A$11,[1]products!$E$2:$E$11,"Not Found")</f>
        <v>187</v>
      </c>
      <c r="M291">
        <f t="shared" si="13"/>
        <v>1051</v>
      </c>
      <c r="N291" t="str">
        <f>_xlfn.XLOOKUP(C291,[2]customers!$A$2:$A$81,[2]customers!$C$2:$C$81,"Not Found")</f>
        <v>South</v>
      </c>
      <c r="O291" t="str">
        <f>_xlfn.XLOOKUP(D291,[1]products!$A$2:$A$11,[1]products!$C$2:$C$11,"Not Found")</f>
        <v>Laptop</v>
      </c>
      <c r="P291" t="str">
        <f>_xlfn.XLOOKUP(C291,[2]customers!$A$2:$A$81,[2]customers!$E$2:$E$81,"Not Found")</f>
        <v>Corporate</v>
      </c>
      <c r="Q291" t="str">
        <f t="shared" si="14"/>
        <v>January</v>
      </c>
    </row>
    <row r="292" spans="1:17" x14ac:dyDescent="0.3">
      <c r="A292" s="1" t="s">
        <v>396</v>
      </c>
      <c r="B292" s="2">
        <v>45940</v>
      </c>
      <c r="C292" s="1" t="s">
        <v>86</v>
      </c>
      <c r="D292" s="1" t="s">
        <v>79</v>
      </c>
      <c r="E292" s="1" t="s">
        <v>50</v>
      </c>
      <c r="F292" s="1">
        <v>4</v>
      </c>
      <c r="G292" s="1">
        <v>0</v>
      </c>
      <c r="H292" s="1" t="s">
        <v>13</v>
      </c>
      <c r="I292" s="1">
        <v>8</v>
      </c>
      <c r="J292">
        <f>_xlfn.XLOOKUP(D292,[1]products!$A$2:$A$11,[1]products!$D$2:$D$11,"Not Found")</f>
        <v>70</v>
      </c>
      <c r="K292">
        <f t="shared" si="12"/>
        <v>280</v>
      </c>
      <c r="L292">
        <f>_xlfn.XLOOKUP(D292,[1]products!$A$2:$A$11,[1]products!$E$2:$E$11,"Not Found")</f>
        <v>22.4</v>
      </c>
      <c r="M292">
        <f t="shared" si="13"/>
        <v>182.4</v>
      </c>
      <c r="N292" t="str">
        <f>_xlfn.XLOOKUP(C292,[2]customers!$A$2:$A$81,[2]customers!$C$2:$C$81,"Not Found")</f>
        <v>West</v>
      </c>
      <c r="O292" t="str">
        <f>_xlfn.XLOOKUP(D292,[1]products!$A$2:$A$11,[1]products!$C$2:$C$11,"Not Found")</f>
        <v>Blender</v>
      </c>
      <c r="P292" t="str">
        <f>_xlfn.XLOOKUP(C292,[2]customers!$A$2:$A$81,[2]customers!$E$2:$E$81,"Not Found")</f>
        <v>Home Office</v>
      </c>
      <c r="Q292" t="str">
        <f t="shared" si="14"/>
        <v>October</v>
      </c>
    </row>
    <row r="293" spans="1:17" x14ac:dyDescent="0.3">
      <c r="A293" s="1" t="s">
        <v>397</v>
      </c>
      <c r="B293" s="2">
        <v>45666</v>
      </c>
      <c r="C293" s="1" t="s">
        <v>96</v>
      </c>
      <c r="D293" s="1" t="s">
        <v>35</v>
      </c>
      <c r="E293" s="1" t="s">
        <v>53</v>
      </c>
      <c r="F293" s="1">
        <v>3</v>
      </c>
      <c r="G293" s="1">
        <v>0.15</v>
      </c>
      <c r="H293" s="1" t="s">
        <v>62</v>
      </c>
      <c r="I293" s="1">
        <v>20</v>
      </c>
      <c r="J293">
        <f>_xlfn.XLOOKUP(D293,[1]products!$A$2:$A$11,[1]products!$D$2:$D$11,"Not Found")</f>
        <v>130</v>
      </c>
      <c r="K293">
        <f t="shared" si="12"/>
        <v>331.5</v>
      </c>
      <c r="L293">
        <f>_xlfn.XLOOKUP(D293,[1]products!$A$2:$A$11,[1]products!$E$2:$E$11,"Not Found")</f>
        <v>33.799999999999997</v>
      </c>
      <c r="M293">
        <f t="shared" si="13"/>
        <v>210.10000000000002</v>
      </c>
      <c r="N293" t="str">
        <f>_xlfn.XLOOKUP(C293,[2]customers!$A$2:$A$81,[2]customers!$C$2:$C$81,"Not Found")</f>
        <v>West</v>
      </c>
      <c r="O293" t="str">
        <f>_xlfn.XLOOKUP(D293,[1]products!$A$2:$A$11,[1]products!$C$2:$C$11,"Not Found")</f>
        <v>Air Fryer</v>
      </c>
      <c r="P293" t="str">
        <f>_xlfn.XLOOKUP(C293,[2]customers!$A$2:$A$81,[2]customers!$E$2:$E$81,"Not Found")</f>
        <v>Corporate</v>
      </c>
      <c r="Q293" t="str">
        <f t="shared" si="14"/>
        <v>January</v>
      </c>
    </row>
    <row r="294" spans="1:17" x14ac:dyDescent="0.3">
      <c r="A294" s="1" t="s">
        <v>398</v>
      </c>
      <c r="B294" s="2">
        <v>45781</v>
      </c>
      <c r="C294" s="1" t="s">
        <v>70</v>
      </c>
      <c r="D294" s="1" t="s">
        <v>74</v>
      </c>
      <c r="E294" s="1" t="s">
        <v>26</v>
      </c>
      <c r="F294" s="1">
        <v>1</v>
      </c>
      <c r="G294" s="1">
        <v>0</v>
      </c>
      <c r="H294" s="1" t="s">
        <v>13</v>
      </c>
      <c r="I294" s="1">
        <v>18</v>
      </c>
      <c r="J294">
        <f>_xlfn.XLOOKUP(D294,[1]products!$A$2:$A$11,[1]products!$D$2:$D$11,"Not Found")</f>
        <v>90</v>
      </c>
      <c r="K294">
        <f t="shared" si="12"/>
        <v>90</v>
      </c>
      <c r="L294">
        <f>_xlfn.XLOOKUP(D294,[1]products!$A$2:$A$11,[1]products!$E$2:$E$11,"Not Found")</f>
        <v>25.2</v>
      </c>
      <c r="M294">
        <f t="shared" si="13"/>
        <v>46.8</v>
      </c>
      <c r="N294" t="str">
        <f>_xlfn.XLOOKUP(C294,[2]customers!$A$2:$A$81,[2]customers!$C$2:$C$81,"Not Found")</f>
        <v>North</v>
      </c>
      <c r="O294" t="str">
        <f>_xlfn.XLOOKUP(D294,[1]products!$A$2:$A$11,[1]products!$C$2:$C$11,"Not Found")</f>
        <v>Headphones</v>
      </c>
      <c r="P294" t="str">
        <f>_xlfn.XLOOKUP(C294,[2]customers!$A$2:$A$81,[2]customers!$E$2:$E$81,"Not Found")</f>
        <v>Home Office</v>
      </c>
      <c r="Q294" t="str">
        <f t="shared" si="14"/>
        <v>May</v>
      </c>
    </row>
    <row r="295" spans="1:17" x14ac:dyDescent="0.3">
      <c r="A295" s="1" t="s">
        <v>399</v>
      </c>
      <c r="B295" s="2">
        <v>45698</v>
      </c>
      <c r="C295" s="1" t="s">
        <v>24</v>
      </c>
      <c r="D295" s="1" t="s">
        <v>21</v>
      </c>
      <c r="E295" s="1" t="s">
        <v>12</v>
      </c>
      <c r="F295" s="1">
        <v>3</v>
      </c>
      <c r="G295" s="1">
        <v>0.05</v>
      </c>
      <c r="H295" s="1" t="s">
        <v>22</v>
      </c>
      <c r="I295" s="1">
        <v>15</v>
      </c>
      <c r="J295">
        <f>_xlfn.XLOOKUP(D295,[1]products!$A$2:$A$11,[1]products!$D$2:$D$11,"Not Found")</f>
        <v>320</v>
      </c>
      <c r="K295">
        <f t="shared" si="12"/>
        <v>912</v>
      </c>
      <c r="L295">
        <f>_xlfn.XLOOKUP(D295,[1]products!$A$2:$A$11,[1]products!$E$2:$E$11,"Not Found")</f>
        <v>86.4</v>
      </c>
      <c r="M295">
        <f t="shared" si="13"/>
        <v>637.79999999999995</v>
      </c>
      <c r="N295" t="str">
        <f>_xlfn.XLOOKUP(C295,[2]customers!$A$2:$A$81,[2]customers!$C$2:$C$81,"Not Found")</f>
        <v>North</v>
      </c>
      <c r="O295" t="str">
        <f>_xlfn.XLOOKUP(D295,[1]products!$A$2:$A$11,[1]products!$C$2:$C$11,"Not Found")</f>
        <v>Desk</v>
      </c>
      <c r="P295" t="str">
        <f>_xlfn.XLOOKUP(C295,[2]customers!$A$2:$A$81,[2]customers!$E$2:$E$81,"Not Found")</f>
        <v>Consumer</v>
      </c>
      <c r="Q295" t="str">
        <f t="shared" si="14"/>
        <v>February</v>
      </c>
    </row>
    <row r="296" spans="1:17" x14ac:dyDescent="0.3">
      <c r="A296" s="1" t="s">
        <v>400</v>
      </c>
      <c r="B296" s="2">
        <v>45699</v>
      </c>
      <c r="C296" s="1" t="s">
        <v>84</v>
      </c>
      <c r="D296" s="1" t="s">
        <v>71</v>
      </c>
      <c r="E296" s="1" t="s">
        <v>16</v>
      </c>
      <c r="F296" s="1">
        <v>2</v>
      </c>
      <c r="G296" s="1">
        <v>0</v>
      </c>
      <c r="H296" s="1" t="s">
        <v>13</v>
      </c>
      <c r="I296" s="1">
        <v>8</v>
      </c>
      <c r="J296">
        <f>_xlfn.XLOOKUP(D296,[1]products!$A$2:$A$11,[1]products!$D$2:$D$11,"Not Found")</f>
        <v>240</v>
      </c>
      <c r="K296">
        <f t="shared" si="12"/>
        <v>480</v>
      </c>
      <c r="L296">
        <f>_xlfn.XLOOKUP(D296,[1]products!$A$2:$A$11,[1]products!$E$2:$E$11,"Not Found")</f>
        <v>55.2</v>
      </c>
      <c r="M296">
        <f t="shared" si="13"/>
        <v>361.6</v>
      </c>
      <c r="N296" t="str">
        <f>_xlfn.XLOOKUP(C296,[2]customers!$A$2:$A$81,[2]customers!$C$2:$C$81,"Not Found")</f>
        <v>North</v>
      </c>
      <c r="O296" t="str">
        <f>_xlfn.XLOOKUP(D296,[1]products!$A$2:$A$11,[1]products!$C$2:$C$11,"Not Found")</f>
        <v>Vacuum Cleaner</v>
      </c>
      <c r="P296" t="str">
        <f>_xlfn.XLOOKUP(C296,[2]customers!$A$2:$A$81,[2]customers!$E$2:$E$81,"Not Found")</f>
        <v>Corporate</v>
      </c>
      <c r="Q296" t="str">
        <f t="shared" si="14"/>
        <v>February</v>
      </c>
    </row>
    <row r="297" spans="1:17" x14ac:dyDescent="0.3">
      <c r="A297" s="1" t="s">
        <v>401</v>
      </c>
      <c r="B297" s="2">
        <v>45984</v>
      </c>
      <c r="C297" s="1" t="s">
        <v>353</v>
      </c>
      <c r="D297" s="1" t="s">
        <v>43</v>
      </c>
      <c r="E297" s="1" t="s">
        <v>16</v>
      </c>
      <c r="F297" s="1">
        <v>4</v>
      </c>
      <c r="G297" s="1">
        <v>0.15</v>
      </c>
      <c r="H297" s="1" t="s">
        <v>13</v>
      </c>
      <c r="I297" s="1">
        <v>20</v>
      </c>
      <c r="J297">
        <f>_xlfn.XLOOKUP(D297,[1]products!$A$2:$A$11,[1]products!$D$2:$D$11,"Not Found")</f>
        <v>160</v>
      </c>
      <c r="K297">
        <f t="shared" si="12"/>
        <v>544</v>
      </c>
      <c r="L297">
        <f>_xlfn.XLOOKUP(D297,[1]products!$A$2:$A$11,[1]products!$E$2:$E$11,"Not Found")</f>
        <v>38.4</v>
      </c>
      <c r="M297">
        <f t="shared" si="13"/>
        <v>370.4</v>
      </c>
      <c r="N297" t="str">
        <f>_xlfn.XLOOKUP(C297,[2]customers!$A$2:$A$81,[2]customers!$C$2:$C$81,"Not Found")</f>
        <v>South</v>
      </c>
      <c r="O297" t="str">
        <f>_xlfn.XLOOKUP(D297,[1]products!$A$2:$A$11,[1]products!$C$2:$C$11,"Not Found")</f>
        <v>Microwave</v>
      </c>
      <c r="P297" t="str">
        <f>_xlfn.XLOOKUP(C297,[2]customers!$A$2:$A$81,[2]customers!$E$2:$E$81,"Not Found")</f>
        <v>Consumer</v>
      </c>
      <c r="Q297" t="str">
        <f t="shared" si="14"/>
        <v>November</v>
      </c>
    </row>
    <row r="298" spans="1:17" x14ac:dyDescent="0.3">
      <c r="A298" s="1" t="s">
        <v>402</v>
      </c>
      <c r="B298" s="2">
        <v>45827</v>
      </c>
      <c r="C298" s="1" t="s">
        <v>101</v>
      </c>
      <c r="D298" s="1" t="s">
        <v>15</v>
      </c>
      <c r="E298" s="1" t="s">
        <v>53</v>
      </c>
      <c r="F298" s="1">
        <v>4</v>
      </c>
      <c r="G298" s="1">
        <v>0.1</v>
      </c>
      <c r="H298" s="1" t="s">
        <v>13</v>
      </c>
      <c r="I298" s="1">
        <v>8</v>
      </c>
      <c r="J298">
        <f>_xlfn.XLOOKUP(D298,[1]products!$A$2:$A$11,[1]products!$D$2:$D$11,"Not Found")</f>
        <v>600</v>
      </c>
      <c r="K298">
        <f t="shared" si="12"/>
        <v>2160</v>
      </c>
      <c r="L298">
        <f>_xlfn.XLOOKUP(D298,[1]products!$A$2:$A$11,[1]products!$E$2:$E$11,"Not Found")</f>
        <v>120</v>
      </c>
      <c r="M298">
        <f t="shared" si="13"/>
        <v>1672</v>
      </c>
      <c r="N298" t="str">
        <f>_xlfn.XLOOKUP(C298,[2]customers!$A$2:$A$81,[2]customers!$C$2:$C$81,"Not Found")</f>
        <v>South</v>
      </c>
      <c r="O298" t="str">
        <f>_xlfn.XLOOKUP(D298,[1]products!$A$2:$A$11,[1]products!$C$2:$C$11,"Not Found")</f>
        <v>Smartphone</v>
      </c>
      <c r="P298" t="str">
        <f>_xlfn.XLOOKUP(C298,[2]customers!$A$2:$A$81,[2]customers!$E$2:$E$81,"Not Found")</f>
        <v>Corporate</v>
      </c>
      <c r="Q298" t="str">
        <f t="shared" si="14"/>
        <v>June</v>
      </c>
    </row>
    <row r="299" spans="1:17" x14ac:dyDescent="0.3">
      <c r="A299" s="1" t="s">
        <v>403</v>
      </c>
      <c r="B299" s="2">
        <v>46012</v>
      </c>
      <c r="C299" s="1" t="s">
        <v>24</v>
      </c>
      <c r="D299" s="1" t="s">
        <v>25</v>
      </c>
      <c r="E299" s="1" t="s">
        <v>53</v>
      </c>
      <c r="F299" s="1">
        <v>2</v>
      </c>
      <c r="G299" s="1">
        <v>0</v>
      </c>
      <c r="H299" s="1" t="s">
        <v>22</v>
      </c>
      <c r="I299" s="1">
        <v>15</v>
      </c>
      <c r="J299">
        <f>_xlfn.XLOOKUP(D299,[1]products!$A$2:$A$11,[1]products!$D$2:$D$11,"Not Found")</f>
        <v>850</v>
      </c>
      <c r="K299">
        <f t="shared" si="12"/>
        <v>1700</v>
      </c>
      <c r="L299">
        <f>_xlfn.XLOOKUP(D299,[1]products!$A$2:$A$11,[1]products!$E$2:$E$11,"Not Found")</f>
        <v>187</v>
      </c>
      <c r="M299">
        <f t="shared" si="13"/>
        <v>1311</v>
      </c>
      <c r="N299" t="str">
        <f>_xlfn.XLOOKUP(C299,[2]customers!$A$2:$A$81,[2]customers!$C$2:$C$81,"Not Found")</f>
        <v>North</v>
      </c>
      <c r="O299" t="str">
        <f>_xlfn.XLOOKUP(D299,[1]products!$A$2:$A$11,[1]products!$C$2:$C$11,"Not Found")</f>
        <v>Laptop</v>
      </c>
      <c r="P299" t="str">
        <f>_xlfn.XLOOKUP(C299,[2]customers!$A$2:$A$81,[2]customers!$E$2:$E$81,"Not Found")</f>
        <v>Consumer</v>
      </c>
      <c r="Q299" t="str">
        <f t="shared" si="14"/>
        <v>December</v>
      </c>
    </row>
    <row r="300" spans="1:17" x14ac:dyDescent="0.3">
      <c r="A300" s="1" t="s">
        <v>404</v>
      </c>
      <c r="B300" s="2">
        <v>45946</v>
      </c>
      <c r="C300" s="1" t="s">
        <v>226</v>
      </c>
      <c r="D300" s="1" t="s">
        <v>25</v>
      </c>
      <c r="E300" s="1" t="s">
        <v>16</v>
      </c>
      <c r="F300" s="1">
        <v>1</v>
      </c>
      <c r="G300" s="1">
        <v>0.05</v>
      </c>
      <c r="H300" s="1" t="s">
        <v>22</v>
      </c>
      <c r="I300" s="1">
        <v>10</v>
      </c>
      <c r="J300">
        <f>_xlfn.XLOOKUP(D300,[1]products!$A$2:$A$11,[1]products!$D$2:$D$11,"Not Found")</f>
        <v>850</v>
      </c>
      <c r="K300">
        <f t="shared" si="12"/>
        <v>807.5</v>
      </c>
      <c r="L300">
        <f>_xlfn.XLOOKUP(D300,[1]products!$A$2:$A$11,[1]products!$E$2:$E$11,"Not Found")</f>
        <v>187</v>
      </c>
      <c r="M300">
        <f t="shared" si="13"/>
        <v>610.5</v>
      </c>
      <c r="N300" t="str">
        <f>_xlfn.XLOOKUP(C300,[2]customers!$A$2:$A$81,[2]customers!$C$2:$C$81,"Not Found")</f>
        <v>West</v>
      </c>
      <c r="O300" t="str">
        <f>_xlfn.XLOOKUP(D300,[1]products!$A$2:$A$11,[1]products!$C$2:$C$11,"Not Found")</f>
        <v>Laptop</v>
      </c>
      <c r="P300" t="str">
        <f>_xlfn.XLOOKUP(C300,[2]customers!$A$2:$A$81,[2]customers!$E$2:$E$81,"Not Found")</f>
        <v>Home Office</v>
      </c>
      <c r="Q300" t="str">
        <f t="shared" si="14"/>
        <v>October</v>
      </c>
    </row>
    <row r="301" spans="1:17" x14ac:dyDescent="0.3">
      <c r="A301" s="1" t="s">
        <v>405</v>
      </c>
      <c r="B301" s="2">
        <v>46022</v>
      </c>
      <c r="C301" s="1" t="s">
        <v>10</v>
      </c>
      <c r="D301" s="1" t="s">
        <v>25</v>
      </c>
      <c r="E301" s="1" t="s">
        <v>50</v>
      </c>
      <c r="F301" s="1">
        <v>2</v>
      </c>
      <c r="G301" s="1">
        <v>0.15</v>
      </c>
      <c r="H301" s="1" t="s">
        <v>13</v>
      </c>
      <c r="I301" s="1">
        <v>8</v>
      </c>
      <c r="J301">
        <f>_xlfn.XLOOKUP(D301,[1]products!$A$2:$A$11,[1]products!$D$2:$D$11,"Not Found")</f>
        <v>850</v>
      </c>
      <c r="K301">
        <f t="shared" si="12"/>
        <v>1445</v>
      </c>
      <c r="L301">
        <f>_xlfn.XLOOKUP(D301,[1]products!$A$2:$A$11,[1]products!$E$2:$E$11,"Not Found")</f>
        <v>187</v>
      </c>
      <c r="M301">
        <f t="shared" si="13"/>
        <v>1063</v>
      </c>
      <c r="N301" t="str">
        <f>_xlfn.XLOOKUP(C301,[2]customers!$A$2:$A$81,[2]customers!$C$2:$C$81,"Not Found")</f>
        <v>West</v>
      </c>
      <c r="O301" t="str">
        <f>_xlfn.XLOOKUP(D301,[1]products!$A$2:$A$11,[1]products!$C$2:$C$11,"Not Found")</f>
        <v>Laptop</v>
      </c>
      <c r="P301" t="str">
        <f>_xlfn.XLOOKUP(C301,[2]customers!$A$2:$A$81,[2]customers!$E$2:$E$81,"Not Found")</f>
        <v>Corporate</v>
      </c>
      <c r="Q301" t="str">
        <f t="shared" si="14"/>
        <v>December</v>
      </c>
    </row>
    <row r="302" spans="1:17" x14ac:dyDescent="0.3">
      <c r="A302" s="1" t="s">
        <v>406</v>
      </c>
      <c r="B302" s="2">
        <v>45857</v>
      </c>
      <c r="C302" s="1" t="s">
        <v>143</v>
      </c>
      <c r="D302" s="1" t="s">
        <v>74</v>
      </c>
      <c r="E302" s="1" t="s">
        <v>53</v>
      </c>
      <c r="F302" s="1">
        <v>5</v>
      </c>
      <c r="G302" s="1">
        <v>0</v>
      </c>
      <c r="H302" s="1" t="s">
        <v>13</v>
      </c>
      <c r="I302" s="1">
        <v>12</v>
      </c>
      <c r="J302">
        <f>_xlfn.XLOOKUP(D302,[1]products!$A$2:$A$11,[1]products!$D$2:$D$11,"Not Found")</f>
        <v>90</v>
      </c>
      <c r="K302">
        <f t="shared" si="12"/>
        <v>450</v>
      </c>
      <c r="L302">
        <f>_xlfn.XLOOKUP(D302,[1]products!$A$2:$A$11,[1]products!$E$2:$E$11,"Not Found")</f>
        <v>25.2</v>
      </c>
      <c r="M302">
        <f t="shared" si="13"/>
        <v>312</v>
      </c>
      <c r="N302" t="str">
        <f>_xlfn.XLOOKUP(C302,[2]customers!$A$2:$A$81,[2]customers!$C$2:$C$81,"Not Found")</f>
        <v>East</v>
      </c>
      <c r="O302" t="str">
        <f>_xlfn.XLOOKUP(D302,[1]products!$A$2:$A$11,[1]products!$C$2:$C$11,"Not Found")</f>
        <v>Headphones</v>
      </c>
      <c r="P302" t="str">
        <f>_xlfn.XLOOKUP(C302,[2]customers!$A$2:$A$81,[2]customers!$E$2:$E$81,"Not Found")</f>
        <v>Home Office</v>
      </c>
      <c r="Q302" t="str">
        <f t="shared" si="14"/>
        <v>July</v>
      </c>
    </row>
    <row r="303" spans="1:17" x14ac:dyDescent="0.3">
      <c r="A303" s="1" t="s">
        <v>407</v>
      </c>
      <c r="B303" s="2">
        <v>45835</v>
      </c>
      <c r="C303" s="1" t="s">
        <v>81</v>
      </c>
      <c r="D303" s="1" t="s">
        <v>74</v>
      </c>
      <c r="E303" s="1" t="s">
        <v>16</v>
      </c>
      <c r="F303" s="1">
        <v>1</v>
      </c>
      <c r="G303" s="1">
        <v>0.15</v>
      </c>
      <c r="H303" s="1" t="s">
        <v>13</v>
      </c>
      <c r="I303" s="1">
        <v>8</v>
      </c>
      <c r="J303">
        <f>_xlfn.XLOOKUP(D303,[1]products!$A$2:$A$11,[1]products!$D$2:$D$11,"Not Found")</f>
        <v>90</v>
      </c>
      <c r="K303">
        <f t="shared" si="12"/>
        <v>76.5</v>
      </c>
      <c r="L303">
        <f>_xlfn.XLOOKUP(D303,[1]products!$A$2:$A$11,[1]products!$E$2:$E$11,"Not Found")</f>
        <v>25.2</v>
      </c>
      <c r="M303">
        <f t="shared" si="13"/>
        <v>43.3</v>
      </c>
      <c r="N303" t="str">
        <f>_xlfn.XLOOKUP(C303,[2]customers!$A$2:$A$81,[2]customers!$C$2:$C$81,"Not Found")</f>
        <v>West</v>
      </c>
      <c r="O303" t="str">
        <f>_xlfn.XLOOKUP(D303,[1]products!$A$2:$A$11,[1]products!$C$2:$C$11,"Not Found")</f>
        <v>Headphones</v>
      </c>
      <c r="P303" t="str">
        <f>_xlfn.XLOOKUP(C303,[2]customers!$A$2:$A$81,[2]customers!$E$2:$E$81,"Not Found")</f>
        <v>Consumer</v>
      </c>
      <c r="Q303" t="str">
        <f t="shared" si="14"/>
        <v>June</v>
      </c>
    </row>
    <row r="304" spans="1:17" x14ac:dyDescent="0.3">
      <c r="A304" s="1" t="s">
        <v>408</v>
      </c>
      <c r="B304" s="2">
        <v>45972</v>
      </c>
      <c r="C304" s="1" t="s">
        <v>70</v>
      </c>
      <c r="D304" s="1" t="s">
        <v>11</v>
      </c>
      <c r="E304" s="1" t="s">
        <v>53</v>
      </c>
      <c r="F304" s="1">
        <v>1</v>
      </c>
      <c r="G304" s="1">
        <v>0.05</v>
      </c>
      <c r="H304" s="1" t="s">
        <v>13</v>
      </c>
      <c r="I304" s="1">
        <v>15</v>
      </c>
      <c r="J304">
        <f>_xlfn.XLOOKUP(D304,[1]products!$A$2:$A$11,[1]products!$D$2:$D$11,"Not Found")</f>
        <v>180</v>
      </c>
      <c r="K304">
        <f t="shared" si="12"/>
        <v>171</v>
      </c>
      <c r="L304">
        <f>_xlfn.XLOOKUP(D304,[1]products!$A$2:$A$11,[1]products!$E$2:$E$11,"Not Found")</f>
        <v>54</v>
      </c>
      <c r="M304">
        <f t="shared" si="13"/>
        <v>102</v>
      </c>
      <c r="N304" t="str">
        <f>_xlfn.XLOOKUP(C304,[2]customers!$A$2:$A$81,[2]customers!$C$2:$C$81,"Not Found")</f>
        <v>North</v>
      </c>
      <c r="O304" t="str">
        <f>_xlfn.XLOOKUP(D304,[1]products!$A$2:$A$11,[1]products!$C$2:$C$11,"Not Found")</f>
        <v>Office Chair</v>
      </c>
      <c r="P304" t="str">
        <f>_xlfn.XLOOKUP(C304,[2]customers!$A$2:$A$81,[2]customers!$E$2:$E$81,"Not Found")</f>
        <v>Home Office</v>
      </c>
      <c r="Q304" t="str">
        <f t="shared" si="14"/>
        <v>November</v>
      </c>
    </row>
    <row r="305" spans="1:17" x14ac:dyDescent="0.3">
      <c r="A305" s="1" t="s">
        <v>409</v>
      </c>
      <c r="B305" s="2">
        <v>45840</v>
      </c>
      <c r="C305" s="1" t="s">
        <v>156</v>
      </c>
      <c r="D305" s="1" t="s">
        <v>25</v>
      </c>
      <c r="E305" s="1" t="s">
        <v>53</v>
      </c>
      <c r="F305" s="1">
        <v>3</v>
      </c>
      <c r="G305" s="1">
        <v>0.1</v>
      </c>
      <c r="H305" s="1" t="s">
        <v>13</v>
      </c>
      <c r="I305" s="1">
        <v>15</v>
      </c>
      <c r="J305">
        <f>_xlfn.XLOOKUP(D305,[1]products!$A$2:$A$11,[1]products!$D$2:$D$11,"Not Found")</f>
        <v>850</v>
      </c>
      <c r="K305">
        <f t="shared" si="12"/>
        <v>2295</v>
      </c>
      <c r="L305">
        <f>_xlfn.XLOOKUP(D305,[1]products!$A$2:$A$11,[1]products!$E$2:$E$11,"Not Found")</f>
        <v>187</v>
      </c>
      <c r="M305">
        <f t="shared" si="13"/>
        <v>1719</v>
      </c>
      <c r="N305" t="str">
        <f>_xlfn.XLOOKUP(C305,[2]customers!$A$2:$A$81,[2]customers!$C$2:$C$81,"Not Found")</f>
        <v>West</v>
      </c>
      <c r="O305" t="str">
        <f>_xlfn.XLOOKUP(D305,[1]products!$A$2:$A$11,[1]products!$C$2:$C$11,"Not Found")</f>
        <v>Laptop</v>
      </c>
      <c r="P305" t="str">
        <f>_xlfn.XLOOKUP(C305,[2]customers!$A$2:$A$81,[2]customers!$E$2:$E$81,"Not Found")</f>
        <v>Corporate</v>
      </c>
      <c r="Q305" t="str">
        <f t="shared" si="14"/>
        <v>July</v>
      </c>
    </row>
    <row r="306" spans="1:17" x14ac:dyDescent="0.3">
      <c r="A306" s="1" t="s">
        <v>410</v>
      </c>
      <c r="B306" s="2">
        <v>45974</v>
      </c>
      <c r="C306" s="1" t="s">
        <v>70</v>
      </c>
      <c r="D306" s="1" t="s">
        <v>74</v>
      </c>
      <c r="E306" s="1" t="s">
        <v>12</v>
      </c>
      <c r="F306" s="1">
        <v>5</v>
      </c>
      <c r="G306" s="1">
        <v>0.1</v>
      </c>
      <c r="H306" s="1" t="s">
        <v>13</v>
      </c>
      <c r="I306" s="1">
        <v>10</v>
      </c>
      <c r="J306">
        <f>_xlfn.XLOOKUP(D306,[1]products!$A$2:$A$11,[1]products!$D$2:$D$11,"Not Found")</f>
        <v>90</v>
      </c>
      <c r="K306">
        <f t="shared" si="12"/>
        <v>405</v>
      </c>
      <c r="L306">
        <f>_xlfn.XLOOKUP(D306,[1]products!$A$2:$A$11,[1]products!$E$2:$E$11,"Not Found")</f>
        <v>25.2</v>
      </c>
      <c r="M306">
        <f t="shared" si="13"/>
        <v>269</v>
      </c>
      <c r="N306" t="str">
        <f>_xlfn.XLOOKUP(C306,[2]customers!$A$2:$A$81,[2]customers!$C$2:$C$81,"Not Found")</f>
        <v>North</v>
      </c>
      <c r="O306" t="str">
        <f>_xlfn.XLOOKUP(D306,[1]products!$A$2:$A$11,[1]products!$C$2:$C$11,"Not Found")</f>
        <v>Headphones</v>
      </c>
      <c r="P306" t="str">
        <f>_xlfn.XLOOKUP(C306,[2]customers!$A$2:$A$81,[2]customers!$E$2:$E$81,"Not Found")</f>
        <v>Home Office</v>
      </c>
      <c r="Q306" t="str">
        <f t="shared" si="14"/>
        <v>November</v>
      </c>
    </row>
    <row r="307" spans="1:17" x14ac:dyDescent="0.3">
      <c r="A307" s="1" t="s">
        <v>411</v>
      </c>
      <c r="B307" s="2">
        <v>45982</v>
      </c>
      <c r="C307" s="1" t="s">
        <v>90</v>
      </c>
      <c r="D307" s="1" t="s">
        <v>15</v>
      </c>
      <c r="E307" s="1" t="s">
        <v>26</v>
      </c>
      <c r="F307" s="1">
        <v>3</v>
      </c>
      <c r="G307" s="1">
        <v>0</v>
      </c>
      <c r="H307" s="1" t="s">
        <v>13</v>
      </c>
      <c r="I307" s="1">
        <v>20</v>
      </c>
      <c r="J307">
        <f>_xlfn.XLOOKUP(D307,[1]products!$A$2:$A$11,[1]products!$D$2:$D$11,"Not Found")</f>
        <v>600</v>
      </c>
      <c r="K307">
        <f t="shared" si="12"/>
        <v>1800</v>
      </c>
      <c r="L307">
        <f>_xlfn.XLOOKUP(D307,[1]products!$A$2:$A$11,[1]products!$E$2:$E$11,"Not Found")</f>
        <v>120</v>
      </c>
      <c r="M307">
        <f t="shared" si="13"/>
        <v>1420</v>
      </c>
      <c r="N307" t="str">
        <f>_xlfn.XLOOKUP(C307,[2]customers!$A$2:$A$81,[2]customers!$C$2:$C$81,"Not Found")</f>
        <v>West</v>
      </c>
      <c r="O307" t="str">
        <f>_xlfn.XLOOKUP(D307,[1]products!$A$2:$A$11,[1]products!$C$2:$C$11,"Not Found")</f>
        <v>Smartphone</v>
      </c>
      <c r="P307" t="str">
        <f>_xlfn.XLOOKUP(C307,[2]customers!$A$2:$A$81,[2]customers!$E$2:$E$81,"Not Found")</f>
        <v>Corporate</v>
      </c>
      <c r="Q307" t="str">
        <f t="shared" si="14"/>
        <v>November</v>
      </c>
    </row>
    <row r="308" spans="1:17" x14ac:dyDescent="0.3">
      <c r="A308" s="1" t="s">
        <v>412</v>
      </c>
      <c r="B308" s="2">
        <v>45815</v>
      </c>
      <c r="C308" s="1" t="s">
        <v>81</v>
      </c>
      <c r="D308" s="1" t="s">
        <v>38</v>
      </c>
      <c r="E308" s="1" t="s">
        <v>50</v>
      </c>
      <c r="F308" s="1">
        <v>3</v>
      </c>
      <c r="G308" s="1">
        <v>0</v>
      </c>
      <c r="H308" s="1" t="s">
        <v>13</v>
      </c>
      <c r="I308" s="1">
        <v>12</v>
      </c>
      <c r="J308">
        <f>_xlfn.XLOOKUP(D308,[1]products!$A$2:$A$11,[1]products!$D$2:$D$11,"Not Found")</f>
        <v>210</v>
      </c>
      <c r="K308">
        <f t="shared" si="12"/>
        <v>630</v>
      </c>
      <c r="L308">
        <f>_xlfn.XLOOKUP(D308,[1]products!$A$2:$A$11,[1]products!$E$2:$E$11,"Not Found")</f>
        <v>52.5</v>
      </c>
      <c r="M308">
        <f t="shared" si="13"/>
        <v>460.5</v>
      </c>
      <c r="N308" t="str">
        <f>_xlfn.XLOOKUP(C308,[2]customers!$A$2:$A$81,[2]customers!$C$2:$C$81,"Not Found")</f>
        <v>West</v>
      </c>
      <c r="O308" t="str">
        <f>_xlfn.XLOOKUP(D308,[1]products!$A$2:$A$11,[1]products!$C$2:$C$11,"Not Found")</f>
        <v>Bookshelf</v>
      </c>
      <c r="P308" t="str">
        <f>_xlfn.XLOOKUP(C308,[2]customers!$A$2:$A$81,[2]customers!$E$2:$E$81,"Not Found")</f>
        <v>Consumer</v>
      </c>
      <c r="Q308" t="str">
        <f t="shared" si="14"/>
        <v>June</v>
      </c>
    </row>
    <row r="309" spans="1:17" x14ac:dyDescent="0.3">
      <c r="A309" s="1" t="s">
        <v>413</v>
      </c>
      <c r="B309" s="2">
        <v>45887</v>
      </c>
      <c r="C309" s="1" t="s">
        <v>226</v>
      </c>
      <c r="D309" s="1" t="s">
        <v>15</v>
      </c>
      <c r="E309" s="1" t="s">
        <v>53</v>
      </c>
      <c r="F309" s="1">
        <v>2</v>
      </c>
      <c r="G309" s="1">
        <v>0</v>
      </c>
      <c r="H309" s="1" t="s">
        <v>13</v>
      </c>
      <c r="I309" s="1">
        <v>18</v>
      </c>
      <c r="J309">
        <f>_xlfn.XLOOKUP(D309,[1]products!$A$2:$A$11,[1]products!$D$2:$D$11,"Not Found")</f>
        <v>600</v>
      </c>
      <c r="K309">
        <f t="shared" si="12"/>
        <v>1200</v>
      </c>
      <c r="L309">
        <f>_xlfn.XLOOKUP(D309,[1]products!$A$2:$A$11,[1]products!$E$2:$E$11,"Not Found")</f>
        <v>120</v>
      </c>
      <c r="M309">
        <f t="shared" si="13"/>
        <v>942</v>
      </c>
      <c r="N309" t="str">
        <f>_xlfn.XLOOKUP(C309,[2]customers!$A$2:$A$81,[2]customers!$C$2:$C$81,"Not Found")</f>
        <v>West</v>
      </c>
      <c r="O309" t="str">
        <f>_xlfn.XLOOKUP(D309,[1]products!$A$2:$A$11,[1]products!$C$2:$C$11,"Not Found")</f>
        <v>Smartphone</v>
      </c>
      <c r="P309" t="str">
        <f>_xlfn.XLOOKUP(C309,[2]customers!$A$2:$A$81,[2]customers!$E$2:$E$81,"Not Found")</f>
        <v>Home Office</v>
      </c>
      <c r="Q309" t="str">
        <f t="shared" si="14"/>
        <v>August</v>
      </c>
    </row>
    <row r="310" spans="1:17" x14ac:dyDescent="0.3">
      <c r="A310" s="1" t="s">
        <v>414</v>
      </c>
      <c r="B310" s="2">
        <v>45941</v>
      </c>
      <c r="C310" s="1" t="s">
        <v>271</v>
      </c>
      <c r="D310" s="1" t="s">
        <v>43</v>
      </c>
      <c r="E310" s="1" t="s">
        <v>16</v>
      </c>
      <c r="F310" s="1">
        <v>1</v>
      </c>
      <c r="G310" s="1">
        <v>0</v>
      </c>
      <c r="H310" s="1" t="s">
        <v>13</v>
      </c>
      <c r="I310" s="1">
        <v>18</v>
      </c>
      <c r="J310">
        <f>_xlfn.XLOOKUP(D310,[1]products!$A$2:$A$11,[1]products!$D$2:$D$11,"Not Found")</f>
        <v>160</v>
      </c>
      <c r="K310">
        <f t="shared" si="12"/>
        <v>160</v>
      </c>
      <c r="L310">
        <f>_xlfn.XLOOKUP(D310,[1]products!$A$2:$A$11,[1]products!$E$2:$E$11,"Not Found")</f>
        <v>38.4</v>
      </c>
      <c r="M310">
        <f t="shared" si="13"/>
        <v>103.6</v>
      </c>
      <c r="N310" t="str">
        <f>_xlfn.XLOOKUP(C310,[2]customers!$A$2:$A$81,[2]customers!$C$2:$C$81,"Not Found")</f>
        <v>West</v>
      </c>
      <c r="O310" t="str">
        <f>_xlfn.XLOOKUP(D310,[1]products!$A$2:$A$11,[1]products!$C$2:$C$11,"Not Found")</f>
        <v>Microwave</v>
      </c>
      <c r="P310" t="str">
        <f>_xlfn.XLOOKUP(C310,[2]customers!$A$2:$A$81,[2]customers!$E$2:$E$81,"Not Found")</f>
        <v>Consumer</v>
      </c>
      <c r="Q310" t="str">
        <f t="shared" si="14"/>
        <v>October</v>
      </c>
    </row>
    <row r="311" spans="1:17" x14ac:dyDescent="0.3">
      <c r="A311" s="1" t="s">
        <v>415</v>
      </c>
      <c r="B311" s="2">
        <v>45856</v>
      </c>
      <c r="C311" s="1" t="s">
        <v>57</v>
      </c>
      <c r="D311" s="1" t="s">
        <v>38</v>
      </c>
      <c r="E311" s="1" t="s">
        <v>16</v>
      </c>
      <c r="F311" s="1">
        <v>4</v>
      </c>
      <c r="G311" s="1">
        <v>0</v>
      </c>
      <c r="H311" s="1" t="s">
        <v>13</v>
      </c>
      <c r="I311" s="1">
        <v>20</v>
      </c>
      <c r="J311">
        <f>_xlfn.XLOOKUP(D311,[1]products!$A$2:$A$11,[1]products!$D$2:$D$11,"Not Found")</f>
        <v>210</v>
      </c>
      <c r="K311">
        <f t="shared" si="12"/>
        <v>840</v>
      </c>
      <c r="L311">
        <f>_xlfn.XLOOKUP(D311,[1]products!$A$2:$A$11,[1]products!$E$2:$E$11,"Not Found")</f>
        <v>52.5</v>
      </c>
      <c r="M311">
        <f t="shared" si="13"/>
        <v>610</v>
      </c>
      <c r="N311" t="str">
        <f>_xlfn.XLOOKUP(C311,[2]customers!$A$2:$A$81,[2]customers!$C$2:$C$81,"Not Found")</f>
        <v>South</v>
      </c>
      <c r="O311" t="str">
        <f>_xlfn.XLOOKUP(D311,[1]products!$A$2:$A$11,[1]products!$C$2:$C$11,"Not Found")</f>
        <v>Bookshelf</v>
      </c>
      <c r="P311" t="str">
        <f>_xlfn.XLOOKUP(C311,[2]customers!$A$2:$A$81,[2]customers!$E$2:$E$81,"Not Found")</f>
        <v>Consumer</v>
      </c>
      <c r="Q311" t="str">
        <f t="shared" si="14"/>
        <v>July</v>
      </c>
    </row>
    <row r="312" spans="1:17" x14ac:dyDescent="0.3">
      <c r="A312" s="1" t="s">
        <v>416</v>
      </c>
      <c r="B312" s="2">
        <v>45852</v>
      </c>
      <c r="C312" s="1" t="s">
        <v>42</v>
      </c>
      <c r="D312" s="1" t="s">
        <v>11</v>
      </c>
      <c r="E312" s="1" t="s">
        <v>26</v>
      </c>
      <c r="F312" s="1">
        <v>5</v>
      </c>
      <c r="G312" s="1">
        <v>0.15</v>
      </c>
      <c r="H312" s="1" t="s">
        <v>13</v>
      </c>
      <c r="I312" s="1">
        <v>10</v>
      </c>
      <c r="J312">
        <f>_xlfn.XLOOKUP(D312,[1]products!$A$2:$A$11,[1]products!$D$2:$D$11,"Not Found")</f>
        <v>180</v>
      </c>
      <c r="K312">
        <f t="shared" si="12"/>
        <v>765</v>
      </c>
      <c r="L312">
        <f>_xlfn.XLOOKUP(D312,[1]products!$A$2:$A$11,[1]products!$E$2:$E$11,"Not Found")</f>
        <v>54</v>
      </c>
      <c r="M312">
        <f t="shared" si="13"/>
        <v>485</v>
      </c>
      <c r="N312" t="str">
        <f>_xlfn.XLOOKUP(C312,[2]customers!$A$2:$A$81,[2]customers!$C$2:$C$81,"Not Found")</f>
        <v>South</v>
      </c>
      <c r="O312" t="str">
        <f>_xlfn.XLOOKUP(D312,[1]products!$A$2:$A$11,[1]products!$C$2:$C$11,"Not Found")</f>
        <v>Office Chair</v>
      </c>
      <c r="P312" t="str">
        <f>_xlfn.XLOOKUP(C312,[2]customers!$A$2:$A$81,[2]customers!$E$2:$E$81,"Not Found")</f>
        <v>Home Office</v>
      </c>
      <c r="Q312" t="str">
        <f t="shared" si="14"/>
        <v>July</v>
      </c>
    </row>
    <row r="313" spans="1:17" x14ac:dyDescent="0.3">
      <c r="A313" s="1" t="s">
        <v>417</v>
      </c>
      <c r="B313" s="2">
        <v>45743</v>
      </c>
      <c r="C313" s="1" t="s">
        <v>226</v>
      </c>
      <c r="D313" s="1" t="s">
        <v>21</v>
      </c>
      <c r="E313" s="1" t="s">
        <v>50</v>
      </c>
      <c r="F313" s="1">
        <v>3</v>
      </c>
      <c r="G313" s="1">
        <v>0.1</v>
      </c>
      <c r="H313" s="1" t="s">
        <v>13</v>
      </c>
      <c r="I313" s="1">
        <v>12</v>
      </c>
      <c r="J313">
        <f>_xlfn.XLOOKUP(D313,[1]products!$A$2:$A$11,[1]products!$D$2:$D$11,"Not Found")</f>
        <v>320</v>
      </c>
      <c r="K313">
        <f t="shared" si="12"/>
        <v>864</v>
      </c>
      <c r="L313">
        <f>_xlfn.XLOOKUP(D313,[1]products!$A$2:$A$11,[1]products!$E$2:$E$11,"Not Found")</f>
        <v>86.4</v>
      </c>
      <c r="M313">
        <f t="shared" si="13"/>
        <v>592.79999999999995</v>
      </c>
      <c r="N313" t="str">
        <f>_xlfn.XLOOKUP(C313,[2]customers!$A$2:$A$81,[2]customers!$C$2:$C$81,"Not Found")</f>
        <v>West</v>
      </c>
      <c r="O313" t="str">
        <f>_xlfn.XLOOKUP(D313,[1]products!$A$2:$A$11,[1]products!$C$2:$C$11,"Not Found")</f>
        <v>Desk</v>
      </c>
      <c r="P313" t="str">
        <f>_xlfn.XLOOKUP(C313,[2]customers!$A$2:$A$81,[2]customers!$E$2:$E$81,"Not Found")</f>
        <v>Home Office</v>
      </c>
      <c r="Q313" t="str">
        <f t="shared" si="14"/>
        <v>March</v>
      </c>
    </row>
    <row r="314" spans="1:17" x14ac:dyDescent="0.3">
      <c r="A314" s="1" t="s">
        <v>418</v>
      </c>
      <c r="B314" s="2">
        <v>45784</v>
      </c>
      <c r="C314" s="1" t="s">
        <v>98</v>
      </c>
      <c r="D314" s="1" t="s">
        <v>21</v>
      </c>
      <c r="E314" s="1" t="s">
        <v>50</v>
      </c>
      <c r="F314" s="1">
        <v>4</v>
      </c>
      <c r="G314" s="1">
        <v>0</v>
      </c>
      <c r="H314" s="1" t="s">
        <v>13</v>
      </c>
      <c r="I314" s="1">
        <v>18</v>
      </c>
      <c r="J314">
        <f>_xlfn.XLOOKUP(D314,[1]products!$A$2:$A$11,[1]products!$D$2:$D$11,"Not Found")</f>
        <v>320</v>
      </c>
      <c r="K314">
        <f t="shared" si="12"/>
        <v>1280</v>
      </c>
      <c r="L314">
        <f>_xlfn.XLOOKUP(D314,[1]products!$A$2:$A$11,[1]products!$E$2:$E$11,"Not Found")</f>
        <v>86.4</v>
      </c>
      <c r="M314">
        <f t="shared" si="13"/>
        <v>916.4</v>
      </c>
      <c r="N314" t="str">
        <f>_xlfn.XLOOKUP(C314,[2]customers!$A$2:$A$81,[2]customers!$C$2:$C$81,"Not Found")</f>
        <v>South</v>
      </c>
      <c r="O314" t="str">
        <f>_xlfn.XLOOKUP(D314,[1]products!$A$2:$A$11,[1]products!$C$2:$C$11,"Not Found")</f>
        <v>Desk</v>
      </c>
      <c r="P314" t="str">
        <f>_xlfn.XLOOKUP(C314,[2]customers!$A$2:$A$81,[2]customers!$E$2:$E$81,"Not Found")</f>
        <v>Consumer</v>
      </c>
      <c r="Q314" t="str">
        <f t="shared" si="14"/>
        <v>May</v>
      </c>
    </row>
    <row r="315" spans="1:17" x14ac:dyDescent="0.3">
      <c r="A315" s="1" t="s">
        <v>419</v>
      </c>
      <c r="B315" s="2">
        <v>45661</v>
      </c>
      <c r="C315" s="1" t="s">
        <v>86</v>
      </c>
      <c r="D315" s="1" t="s">
        <v>11</v>
      </c>
      <c r="E315" s="1" t="s">
        <v>50</v>
      </c>
      <c r="F315" s="1">
        <v>4</v>
      </c>
      <c r="G315" s="1">
        <v>0</v>
      </c>
      <c r="H315" s="1" t="s">
        <v>13</v>
      </c>
      <c r="I315" s="1">
        <v>12</v>
      </c>
      <c r="J315">
        <f>_xlfn.XLOOKUP(D315,[1]products!$A$2:$A$11,[1]products!$D$2:$D$11,"Not Found")</f>
        <v>180</v>
      </c>
      <c r="K315">
        <f t="shared" si="12"/>
        <v>720</v>
      </c>
      <c r="L315">
        <f>_xlfn.XLOOKUP(D315,[1]products!$A$2:$A$11,[1]products!$E$2:$E$11,"Not Found")</f>
        <v>54</v>
      </c>
      <c r="M315">
        <f t="shared" si="13"/>
        <v>492</v>
      </c>
      <c r="N315" t="str">
        <f>_xlfn.XLOOKUP(C315,[2]customers!$A$2:$A$81,[2]customers!$C$2:$C$81,"Not Found")</f>
        <v>West</v>
      </c>
      <c r="O315" t="str">
        <f>_xlfn.XLOOKUP(D315,[1]products!$A$2:$A$11,[1]products!$C$2:$C$11,"Not Found")</f>
        <v>Office Chair</v>
      </c>
      <c r="P315" t="str">
        <f>_xlfn.XLOOKUP(C315,[2]customers!$A$2:$A$81,[2]customers!$E$2:$E$81,"Not Found")</f>
        <v>Home Office</v>
      </c>
      <c r="Q315" t="str">
        <f t="shared" si="14"/>
        <v>January</v>
      </c>
    </row>
    <row r="316" spans="1:17" x14ac:dyDescent="0.3">
      <c r="A316" s="1" t="s">
        <v>420</v>
      </c>
      <c r="B316" s="2">
        <v>45991</v>
      </c>
      <c r="C316" s="1" t="s">
        <v>185</v>
      </c>
      <c r="D316" s="1" t="s">
        <v>43</v>
      </c>
      <c r="E316" s="1" t="s">
        <v>53</v>
      </c>
      <c r="F316" s="1">
        <v>3</v>
      </c>
      <c r="G316" s="1">
        <v>0.1</v>
      </c>
      <c r="H316" s="1" t="s">
        <v>13</v>
      </c>
      <c r="I316" s="1">
        <v>10</v>
      </c>
      <c r="J316">
        <f>_xlfn.XLOOKUP(D316,[1]products!$A$2:$A$11,[1]products!$D$2:$D$11,"Not Found")</f>
        <v>160</v>
      </c>
      <c r="K316">
        <f t="shared" si="12"/>
        <v>432</v>
      </c>
      <c r="L316">
        <f>_xlfn.XLOOKUP(D316,[1]products!$A$2:$A$11,[1]products!$E$2:$E$11,"Not Found")</f>
        <v>38.4</v>
      </c>
      <c r="M316">
        <f t="shared" si="13"/>
        <v>306.8</v>
      </c>
      <c r="N316" t="str">
        <f>_xlfn.XLOOKUP(C316,[2]customers!$A$2:$A$81,[2]customers!$C$2:$C$81,"Not Found")</f>
        <v>East</v>
      </c>
      <c r="O316" t="str">
        <f>_xlfn.XLOOKUP(D316,[1]products!$A$2:$A$11,[1]products!$C$2:$C$11,"Not Found")</f>
        <v>Microwave</v>
      </c>
      <c r="P316" t="str">
        <f>_xlfn.XLOOKUP(C316,[2]customers!$A$2:$A$81,[2]customers!$E$2:$E$81,"Not Found")</f>
        <v>Consumer</v>
      </c>
      <c r="Q316" t="str">
        <f t="shared" si="14"/>
        <v>November</v>
      </c>
    </row>
    <row r="317" spans="1:17" x14ac:dyDescent="0.3">
      <c r="A317" s="1" t="s">
        <v>421</v>
      </c>
      <c r="B317" s="2">
        <v>45748</v>
      </c>
      <c r="C317" s="1" t="s">
        <v>143</v>
      </c>
      <c r="D317" s="1" t="s">
        <v>38</v>
      </c>
      <c r="E317" s="1" t="s">
        <v>50</v>
      </c>
      <c r="F317" s="1">
        <v>5</v>
      </c>
      <c r="G317" s="1">
        <v>0</v>
      </c>
      <c r="H317" s="1" t="s">
        <v>13</v>
      </c>
      <c r="I317" s="1">
        <v>12</v>
      </c>
      <c r="J317">
        <f>_xlfn.XLOOKUP(D317,[1]products!$A$2:$A$11,[1]products!$D$2:$D$11,"Not Found")</f>
        <v>210</v>
      </c>
      <c r="K317">
        <f t="shared" si="12"/>
        <v>1050</v>
      </c>
      <c r="L317">
        <f>_xlfn.XLOOKUP(D317,[1]products!$A$2:$A$11,[1]products!$E$2:$E$11,"Not Found")</f>
        <v>52.5</v>
      </c>
      <c r="M317">
        <f t="shared" si="13"/>
        <v>775.5</v>
      </c>
      <c r="N317" t="str">
        <f>_xlfn.XLOOKUP(C317,[2]customers!$A$2:$A$81,[2]customers!$C$2:$C$81,"Not Found")</f>
        <v>East</v>
      </c>
      <c r="O317" t="str">
        <f>_xlfn.XLOOKUP(D317,[1]products!$A$2:$A$11,[1]products!$C$2:$C$11,"Not Found")</f>
        <v>Bookshelf</v>
      </c>
      <c r="P317" t="str">
        <f>_xlfn.XLOOKUP(C317,[2]customers!$A$2:$A$81,[2]customers!$E$2:$E$81,"Not Found")</f>
        <v>Home Office</v>
      </c>
      <c r="Q317" t="str">
        <f t="shared" si="14"/>
        <v>April</v>
      </c>
    </row>
    <row r="318" spans="1:17" x14ac:dyDescent="0.3">
      <c r="A318" s="1" t="s">
        <v>422</v>
      </c>
      <c r="B318" s="2">
        <v>45801</v>
      </c>
      <c r="C318" s="1" t="s">
        <v>66</v>
      </c>
      <c r="D318" s="1" t="s">
        <v>79</v>
      </c>
      <c r="E318" s="1" t="s">
        <v>50</v>
      </c>
      <c r="F318" s="1">
        <v>5</v>
      </c>
      <c r="G318" s="1">
        <v>0</v>
      </c>
      <c r="H318" s="1" t="s">
        <v>13</v>
      </c>
      <c r="I318" s="1">
        <v>12</v>
      </c>
      <c r="J318">
        <f>_xlfn.XLOOKUP(D318,[1]products!$A$2:$A$11,[1]products!$D$2:$D$11,"Not Found")</f>
        <v>70</v>
      </c>
      <c r="K318">
        <f t="shared" si="12"/>
        <v>350</v>
      </c>
      <c r="L318">
        <f>_xlfn.XLOOKUP(D318,[1]products!$A$2:$A$11,[1]products!$E$2:$E$11,"Not Found")</f>
        <v>22.4</v>
      </c>
      <c r="M318">
        <f t="shared" si="13"/>
        <v>226</v>
      </c>
      <c r="N318" t="str">
        <f>_xlfn.XLOOKUP(C318,[2]customers!$A$2:$A$81,[2]customers!$C$2:$C$81,"Not Found")</f>
        <v>South</v>
      </c>
      <c r="O318" t="str">
        <f>_xlfn.XLOOKUP(D318,[1]products!$A$2:$A$11,[1]products!$C$2:$C$11,"Not Found")</f>
        <v>Blender</v>
      </c>
      <c r="P318" t="str">
        <f>_xlfn.XLOOKUP(C318,[2]customers!$A$2:$A$81,[2]customers!$E$2:$E$81,"Not Found")</f>
        <v>Consumer</v>
      </c>
      <c r="Q318" t="str">
        <f t="shared" si="14"/>
        <v>May</v>
      </c>
    </row>
    <row r="319" spans="1:17" x14ac:dyDescent="0.3">
      <c r="A319" s="1" t="s">
        <v>423</v>
      </c>
      <c r="B319" s="2">
        <v>45750</v>
      </c>
      <c r="C319" s="1" t="s">
        <v>28</v>
      </c>
      <c r="D319" s="1" t="s">
        <v>71</v>
      </c>
      <c r="E319" s="1" t="s">
        <v>53</v>
      </c>
      <c r="F319" s="1">
        <v>2</v>
      </c>
      <c r="G319" s="1">
        <v>0.15</v>
      </c>
      <c r="H319" s="1" t="s">
        <v>62</v>
      </c>
      <c r="I319" s="1">
        <v>8</v>
      </c>
      <c r="J319">
        <f>_xlfn.XLOOKUP(D319,[1]products!$A$2:$A$11,[1]products!$D$2:$D$11,"Not Found")</f>
        <v>240</v>
      </c>
      <c r="K319">
        <f t="shared" si="12"/>
        <v>408</v>
      </c>
      <c r="L319">
        <f>_xlfn.XLOOKUP(D319,[1]products!$A$2:$A$11,[1]products!$E$2:$E$11,"Not Found")</f>
        <v>55.2</v>
      </c>
      <c r="M319">
        <f t="shared" si="13"/>
        <v>289.60000000000002</v>
      </c>
      <c r="N319" t="str">
        <f>_xlfn.XLOOKUP(C319,[2]customers!$A$2:$A$81,[2]customers!$C$2:$C$81,"Not Found")</f>
        <v>South</v>
      </c>
      <c r="O319" t="str">
        <f>_xlfn.XLOOKUP(D319,[1]products!$A$2:$A$11,[1]products!$C$2:$C$11,"Not Found")</f>
        <v>Vacuum Cleaner</v>
      </c>
      <c r="P319" t="str">
        <f>_xlfn.XLOOKUP(C319,[2]customers!$A$2:$A$81,[2]customers!$E$2:$E$81,"Not Found")</f>
        <v>Consumer</v>
      </c>
      <c r="Q319" t="str">
        <f t="shared" si="14"/>
        <v>April</v>
      </c>
    </row>
    <row r="320" spans="1:17" x14ac:dyDescent="0.3">
      <c r="A320" s="1" t="s">
        <v>424</v>
      </c>
      <c r="B320" s="2">
        <v>45693</v>
      </c>
      <c r="C320" s="1" t="s">
        <v>307</v>
      </c>
      <c r="D320" s="1" t="s">
        <v>11</v>
      </c>
      <c r="E320" s="1" t="s">
        <v>50</v>
      </c>
      <c r="F320" s="1">
        <v>4</v>
      </c>
      <c r="G320" s="1">
        <v>0.05</v>
      </c>
      <c r="H320" s="1" t="s">
        <v>22</v>
      </c>
      <c r="I320" s="1">
        <v>20</v>
      </c>
      <c r="J320">
        <f>_xlfn.XLOOKUP(D320,[1]products!$A$2:$A$11,[1]products!$D$2:$D$11,"Not Found")</f>
        <v>180</v>
      </c>
      <c r="K320">
        <f t="shared" si="12"/>
        <v>684</v>
      </c>
      <c r="L320">
        <f>_xlfn.XLOOKUP(D320,[1]products!$A$2:$A$11,[1]products!$E$2:$E$11,"Not Found")</f>
        <v>54</v>
      </c>
      <c r="M320">
        <f t="shared" si="13"/>
        <v>448</v>
      </c>
      <c r="N320" t="str">
        <f>_xlfn.XLOOKUP(C320,[2]customers!$A$2:$A$81,[2]customers!$C$2:$C$81,"Not Found")</f>
        <v>North</v>
      </c>
      <c r="O320" t="str">
        <f>_xlfn.XLOOKUP(D320,[1]products!$A$2:$A$11,[1]products!$C$2:$C$11,"Not Found")</f>
        <v>Office Chair</v>
      </c>
      <c r="P320" t="str">
        <f>_xlfn.XLOOKUP(C320,[2]customers!$A$2:$A$81,[2]customers!$E$2:$E$81,"Not Found")</f>
        <v>Consumer</v>
      </c>
      <c r="Q320" t="str">
        <f t="shared" si="14"/>
        <v>February</v>
      </c>
    </row>
    <row r="321" spans="1:17" x14ac:dyDescent="0.3">
      <c r="A321" s="1" t="s">
        <v>425</v>
      </c>
      <c r="B321" s="2">
        <v>45736</v>
      </c>
      <c r="C321" s="1" t="s">
        <v>123</v>
      </c>
      <c r="D321" s="1" t="s">
        <v>74</v>
      </c>
      <c r="E321" s="1" t="s">
        <v>50</v>
      </c>
      <c r="F321" s="1">
        <v>3</v>
      </c>
      <c r="G321" s="1">
        <v>0</v>
      </c>
      <c r="H321" s="1" t="s">
        <v>13</v>
      </c>
      <c r="I321" s="1">
        <v>15</v>
      </c>
      <c r="J321">
        <f>_xlfn.XLOOKUP(D321,[1]products!$A$2:$A$11,[1]products!$D$2:$D$11,"Not Found")</f>
        <v>90</v>
      </c>
      <c r="K321">
        <f t="shared" si="12"/>
        <v>270</v>
      </c>
      <c r="L321">
        <f>_xlfn.XLOOKUP(D321,[1]products!$A$2:$A$11,[1]products!$E$2:$E$11,"Not Found")</f>
        <v>25.2</v>
      </c>
      <c r="M321">
        <f t="shared" si="13"/>
        <v>179.4</v>
      </c>
      <c r="N321" t="str">
        <f>_xlfn.XLOOKUP(C321,[2]customers!$A$2:$A$81,[2]customers!$C$2:$C$81,"Not Found")</f>
        <v>East</v>
      </c>
      <c r="O321" t="str">
        <f>_xlfn.XLOOKUP(D321,[1]products!$A$2:$A$11,[1]products!$C$2:$C$11,"Not Found")</f>
        <v>Headphones</v>
      </c>
      <c r="P321" t="str">
        <f>_xlfn.XLOOKUP(C321,[2]customers!$A$2:$A$81,[2]customers!$E$2:$E$81,"Not Found")</f>
        <v>Consumer</v>
      </c>
      <c r="Q321" t="str">
        <f t="shared" si="14"/>
        <v>March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Revenue and Profit by Region</vt:lpstr>
      <vt:lpstr>Revenue and Profit by Product N</vt:lpstr>
      <vt:lpstr>Revenue and Profit by Sales Rep</vt:lpstr>
      <vt:lpstr>Revenue and Profit by Custm Seg</vt:lpstr>
      <vt:lpstr>Revenue &amp; Profit by Paymnt Stat</vt:lpstr>
      <vt:lpstr>Monthly Revenue &amp; Profit</vt:lpstr>
      <vt:lpstr>orders_raw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Dada</cp:lastModifiedBy>
  <dcterms:created xsi:type="dcterms:W3CDTF">2026-06-21T21:04:36Z</dcterms:created>
  <dcterms:modified xsi:type="dcterms:W3CDTF">2026-06-22T01:55:11Z</dcterms:modified>
</cp:coreProperties>
</file>